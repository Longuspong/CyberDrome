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gende" sheetId="1" state="visible" r:id="rId1"/>
    <sheet name="Alle Teile" sheetId="2" state="visible" r:id="rId2"/>
    <sheet name="Koerperteile" sheetId="3" state="visible" r:id="rId3"/>
    <sheet name="Kopfteile" sheetId="4" state="visible" r:id="rId4"/>
    <sheet name="Fussteile" sheetId="5" state="visible" r:id="rId5"/>
    <sheet name="Kerne" sheetId="6" state="visible" r:id="rId6"/>
    <sheet name="Ausruestung Waffen" sheetId="7" state="visible" r:id="rId7"/>
    <sheet name="Ausruestung Sonstiges" sheetId="8" state="visible" r:id="rId8"/>
    <sheet name="Chassis &amp; Slots" sheetId="9" state="visible" r:id="rId9"/>
    <sheet name="Kompatibilitaet" sheetId="10" state="visible" r:id="rId10"/>
    <sheet name="Silhouetten" sheetId="11" state="visible" r:id="rId11"/>
  </sheets>
  <definedNames>
    <definedName name="_xlnm._FilterDatabase" localSheetId="1" hidden="1">'Alle Teile'!$A$4:$W$27</definedName>
    <definedName name="_xlnm._FilterDatabase" localSheetId="2" hidden="1">'Koerperteile'!$A$4:$P$8</definedName>
    <definedName name="_xlnm._FilterDatabase" localSheetId="3" hidden="1">'Kopfteile'!$A$4:$Q$8</definedName>
    <definedName name="_xlnm._FilterDatabase" localSheetId="4" hidden="1">'Fussteile'!$A$4:$R$8</definedName>
    <definedName name="_xlnm._FilterDatabase" localSheetId="5" hidden="1">'Kerne'!$A$4:$M$8</definedName>
    <definedName name="_xlnm._FilterDatabase" localSheetId="6" hidden="1">'Ausruestung Waffen'!$A$4:$X$8</definedName>
    <definedName name="_xlnm._FilterDatabase" localSheetId="7" hidden="1">'Ausruestung Sonstiges'!$A$4:$W$7</definedName>
  </definedNames>
  <calcPr calcId="124519" fullCalcOnLoad="1"/>
</workbook>
</file>

<file path=xl/styles.xml><?xml version="1.0" encoding="utf-8"?>
<styleSheet xmlns="http://schemas.openxmlformats.org/spreadsheetml/2006/main">
  <numFmts count="1">
    <numFmt numFmtId="164" formatCode="0.0"/>
  </numFmts>
  <fonts count="10">
    <font>
      <name val="Calibri"/>
      <family val="2"/>
      <color theme="1"/>
      <sz val="11"/>
      <scheme val="minor"/>
    </font>
    <font>
      <name val="Arial"/>
      <b val="1"/>
      <sz val="14"/>
    </font>
    <font>
      <name val="Arial"/>
      <i val="1"/>
      <color rgb="00666666"/>
      <sz val="9"/>
    </font>
    <font>
      <name val="Arial"/>
      <b val="1"/>
      <color rgb="00FFFFFF"/>
      <sz val="10"/>
    </font>
    <font>
      <name val="Arial"/>
      <b val="1"/>
      <sz val="10"/>
    </font>
    <font>
      <name val="Arial"/>
      <sz val="10"/>
    </font>
    <font>
      <name val="Arial"/>
      <color rgb="001F3B4D"/>
      <sz val="10"/>
    </font>
    <font>
      <name val="Arial"/>
      <sz val="9"/>
    </font>
    <font>
      <name val="Arial"/>
      <i val="1"/>
      <sz val="9"/>
    </font>
    <font>
      <name val="Arial"/>
      <b val="1"/>
      <sz val="12"/>
    </font>
  </fonts>
  <fills count="7">
    <fill>
      <patternFill/>
    </fill>
    <fill>
      <patternFill patternType="gray125"/>
    </fill>
    <fill>
      <patternFill patternType="solid">
        <fgColor rgb="001F3B4D"/>
      </patternFill>
    </fill>
    <fill>
      <patternFill patternType="solid">
        <fgColor rgb="00EAF1F8"/>
      </patternFill>
    </fill>
    <fill>
      <patternFill patternType="solid">
        <fgColor rgb="00F7F7F7"/>
      </patternFill>
    </fill>
    <fill>
      <patternFill patternType="solid">
        <fgColor rgb="00DCE6F1"/>
      </patternFill>
    </fill>
    <fill>
      <patternFill patternType="solid">
        <fgColor rgb="00F2F2F2"/>
      </patternFill>
    </fill>
  </fills>
  <borders count="5">
    <border>
      <left/>
      <right/>
      <top/>
      <bottom/>
      <diagonal/>
    </border>
    <border>
      <left style="thin">
        <color rgb="00B0B0B0"/>
      </left>
      <right style="thin">
        <color rgb="00B0B0B0"/>
      </right>
      <top style="thin">
        <color rgb="00B0B0B0"/>
      </top>
      <bottom style="thin">
        <color rgb="00B0B0B0"/>
      </bottom>
    </border>
    <border>
      <left style="thin">
        <color rgb="00B0B0B0"/>
      </left>
      <right/>
      <top/>
      <bottom/>
      <diagonal/>
    </border>
    <border>
      <left style="thin">
        <color rgb="00B0B0B0"/>
      </left>
      <right style="thin">
        <color rgb="00B0B0B0"/>
      </right>
      <top/>
      <bottom/>
      <diagonal/>
    </border>
    <border>
      <left style="thin">
        <color rgb="00B0B0B0"/>
      </left>
      <right style="thin">
        <color rgb="00B0B0B0"/>
      </right>
      <top/>
      <bottom style="thin">
        <color rgb="00B0B0B0"/>
      </bottom>
      <diagonal/>
    </border>
  </borders>
  <cellStyleXfs count="1">
    <xf numFmtId="0" fontId="0" fillId="0" borderId="0"/>
  </cellStyleXfs>
  <cellXfs count="38">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vertical="center" wrapText="1"/>
    </xf>
    <xf numFmtId="0" fontId="4" fillId="0" borderId="0" pivotButton="0" quotePrefix="0" xfId="0"/>
    <xf numFmtId="0" fontId="5" fillId="0" borderId="0" applyAlignment="1" pivotButton="0" quotePrefix="0" xfId="0">
      <alignment vertical="top" wrapText="1"/>
    </xf>
    <xf numFmtId="0" fontId="9" fillId="0" borderId="0" pivotButton="0" quotePrefix="0" xfId="0"/>
    <xf numFmtId="0" fontId="5" fillId="0" borderId="1" pivotButton="0" quotePrefix="0" xfId="0"/>
    <xf numFmtId="0" fontId="5" fillId="0" borderId="1" applyAlignment="1" pivotButton="0" quotePrefix="0" xfId="0">
      <alignment horizontal="center" vertical="center"/>
    </xf>
    <xf numFmtId="0" fontId="5" fillId="0" borderId="1" applyAlignment="1" pivotButton="0" quotePrefix="0" xfId="0">
      <alignment vertical="top" wrapText="1"/>
    </xf>
    <xf numFmtId="0" fontId="4" fillId="0" borderId="0" applyAlignment="1" pivotButton="0" quotePrefix="0" xfId="0">
      <alignment horizontal="center" vertical="center"/>
    </xf>
    <xf numFmtId="0" fontId="7" fillId="0" borderId="1" pivotButton="0" quotePrefix="0" xfId="0"/>
    <xf numFmtId="0" fontId="4" fillId="0" borderId="1" pivotButton="0" quotePrefix="0" xfId="0"/>
    <xf numFmtId="0" fontId="5" fillId="0" borderId="0" pivotButton="0" quotePrefix="0" xfId="0"/>
    <xf numFmtId="0" fontId="6" fillId="3" borderId="1" pivotButton="0" quotePrefix="0" xfId="0"/>
    <xf numFmtId="0" fontId="4" fillId="4" borderId="1" pivotButton="0" quotePrefix="0" xfId="0"/>
    <xf numFmtId="0" fontId="2" fillId="6" borderId="1" pivotButton="0" quotePrefix="0" xfId="0"/>
    <xf numFmtId="1" fontId="5" fillId="0" borderId="1" applyAlignment="1" pivotButton="0" quotePrefix="0" xfId="0">
      <alignment horizontal="center" vertical="center"/>
    </xf>
    <xf numFmtId="164" fontId="6" fillId="3" borderId="1" applyAlignment="1" pivotButton="0" quotePrefix="0" xfId="0">
      <alignment horizontal="center" vertical="center"/>
    </xf>
    <xf numFmtId="0" fontId="4" fillId="4" borderId="0" pivotButton="0" quotePrefix="0" xfId="0"/>
    <xf numFmtId="1" fontId="4" fillId="4" borderId="1" applyAlignment="1" pivotButton="0" quotePrefix="0" xfId="0">
      <alignment horizontal="center" vertical="center"/>
    </xf>
    <xf numFmtId="164" fontId="4" fillId="4" borderId="1" applyAlignment="1" pivotButton="0" quotePrefix="0" xfId="0">
      <alignment horizontal="center" vertical="center"/>
    </xf>
    <xf numFmtId="0" fontId="4" fillId="0" borderId="1" applyAlignment="1" pivotButton="0" quotePrefix="0" xfId="0">
      <alignment vertical="center"/>
    </xf>
    <xf numFmtId="0" fontId="5" fillId="0" borderId="1" applyAlignment="1" pivotButton="0" quotePrefix="0" xfId="0">
      <alignment vertical="center"/>
    </xf>
    <xf numFmtId="0" fontId="5" fillId="0" borderId="1" applyAlignment="1" pivotButton="0" quotePrefix="0" xfId="0">
      <alignment vertical="top"/>
    </xf>
    <xf numFmtId="0" fontId="4" fillId="0" borderId="1" applyAlignment="1" pivotButton="0" quotePrefix="0" xfId="0">
      <alignment vertical="top"/>
    </xf>
    <xf numFmtId="0" fontId="0" fillId="0" borderId="4" pivotButton="0" quotePrefix="0" xfId="0"/>
    <xf numFmtId="0" fontId="0" fillId="0" borderId="3" pivotButton="0" quotePrefix="0" xfId="0"/>
    <xf numFmtId="0" fontId="2" fillId="0" borderId="0" applyAlignment="1" pivotButton="0" quotePrefix="0" xfId="0">
      <alignment horizontal="center"/>
    </xf>
    <xf numFmtId="0" fontId="2" fillId="0" borderId="0" applyAlignment="1" pivotButton="0" quotePrefix="0" xfId="0">
      <alignment horizontal="right"/>
    </xf>
    <xf numFmtId="0" fontId="4" fillId="5" borderId="0" applyAlignment="1" pivotButton="0" quotePrefix="0" xfId="0">
      <alignment horizontal="center" vertical="bottom" wrapText="1"/>
    </xf>
    <xf numFmtId="0" fontId="7" fillId="0" borderId="0" applyAlignment="1" pivotButton="0" quotePrefix="0" xfId="0">
      <alignment horizontal="center"/>
    </xf>
    <xf numFmtId="0" fontId="8" fillId="0" borderId="0" applyAlignment="1" pivotButton="0" quotePrefix="0" xfId="0">
      <alignment horizontal="center" vertical="top" wrapText="1"/>
    </xf>
    <xf numFmtId="0" fontId="2" fillId="6" borderId="0" applyAlignment="1" pivotButton="0" quotePrefix="0" xfId="0">
      <alignment horizontal="center"/>
    </xf>
    <xf numFmtId="0" fontId="3" fillId="2" borderId="0" applyAlignment="1" pivotButton="0" quotePrefix="0" xfId="0">
      <alignment horizontal="center"/>
    </xf>
    <xf numFmtId="0" fontId="2" fillId="6" borderId="1" applyAlignment="1" pivotButton="0" quotePrefix="0" xfId="0">
      <alignment horizontal="center"/>
    </xf>
    <xf numFmtId="0" fontId="5" fillId="0" borderId="1" applyAlignment="1" pivotButton="0" quotePrefix="0" xfId="0">
      <alignment horizontal="center"/>
    </xf>
    <xf numFmtId="2" fontId="5" fillId="0"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comments/comment1.xml><?xml version="1.0" encoding="utf-8"?>
<comments xmlns="http://schemas.openxmlformats.org/spreadsheetml/2006/main">
  <authors>
    <author>CyberDrome</author>
  </authors>
  <commentList>
    <comment ref="A4" authorId="0" shapeId="0">
      <text>
        <t>Code
Stabile Kennung fuers Game Design.</t>
      </text>
    </comment>
    <comment ref="F4" authorId="0" shapeId="0">
      <text>
        <t>Montageklasse
Was die HALTERUNG aushalten muss -- Masse, Rueckstoss, Hebel. Nicht das Gewicht allein.</t>
      </text>
    </comment>
    <comment ref="G4" authorId="0" shapeId="0">
      <text>
        <t>HP
Strukturpunkte. Ein DROME hat keine Grundwerte -- seine Lebensleiste ist die Summe aus Chassis und Kopf.</t>
      </text>
    </comment>
    <comment ref="H4" authorId="0" shapeId="0">
      <text>
        <t>EN max
Energiespeicher. Bezahlt die EN-Kosten der Aktionen.</t>
      </text>
    </comment>
    <comment ref="I4" authorId="0" shapeId="0">
      <text>
        <t>EN/Zyklus
Energie, die je Zyklus nachlaeuft.</t>
      </text>
    </comment>
    <comment ref="J4" authorId="0" shapeId="0">
      <text>
        <t>SPD
Tempo auf der TICK-Leiste: so viel fuellt der DROME je Tick, bei 100 ist er am Zug. Muss im fertigen Aufbau mindestens 1 sein.</t>
      </text>
    </comment>
    <comment ref="K4" authorId="0" shapeId="0">
      <text>
        <t>MOV
Felder je Zug. Muss im fertigen Aufbau mindestens 1 sein.</t>
      </text>
    </comment>
    <comment ref="L4" authorId="0" shapeId="0">
      <text>
        <t>ATK
Angriffsbonus, additiv auf die Power der Aktion.</t>
      </text>
    </comment>
    <comment ref="M4" authorId="0" shapeId="0">
      <text>
        <t>DEF
Schadensminderung.</t>
      </text>
    </comment>
    <comment ref="N4" authorId="0" shapeId="0">
      <text>
        <t>Gewicht
Zaehlt gegen die Traglast des Chassis.</t>
      </text>
    </comment>
    <comment ref="O4" authorId="0" shapeId="0">
      <text>
        <t>Energiebedarf
Zaehlt gegen die Energieabgabe des Kerns.</t>
      </text>
    </comment>
    <comment ref="P4" authorId="0" shapeId="0">
      <text>
        <t>Traglast
Nur Chassis: wie viel Gewicht der Aufbau insgesamt tragen darf.</t>
      </text>
    </comment>
    <comment ref="Q4" authorId="0" shapeId="0">
      <text>
        <t>Energieabgabe
Nur Kern: wie viel Energiebedarf der Aufbau insgesamt haben darf.</t>
      </text>
    </comment>
    <comment ref="S4" authorId="0" shapeId="0">
      <text>
        <t>Power
Positiv = Schaden, negativ = Heilung. Ein Vorzeichen statt zweier Felder.</t>
      </text>
    </comment>
    <comment ref="T4" authorId="0" shapeId="0">
      <text>
        <t>Reichweite
Felder bis zum Ziel.</t>
      </text>
    </comment>
    <comment ref="U4" authorId="0" shapeId="0">
      <text>
        <t>EN-Kosten
Energie je Einsatz.</t>
      </text>
    </comment>
    <comment ref="V4" authorId="0" shapeId="0">
      <text>
        <t>Threat-Beitrag
Beitrag zum Threat Score aus drome_build.gd: 1×HP · 6×ATK · 8×DEF · 3×SPD · 4×MOV · 0.5×EN max. Die Werte, die dieser Bauteiltyp gar nicht fuehrt, sind ueberall 0 und stehen deshalb nicht in der Formel. Ueber diese Spalte lassen sich Teile verschiedener Typen vergleichen.</t>
      </text>
    </comment>
  </commentList>
</comments>
</file>

<file path=xl/comments/comment2.xml><?xml version="1.0" encoding="utf-8"?>
<comments xmlns="http://schemas.openxmlformats.org/spreadsheetml/2006/main">
  <authors>
    <author>CyberDrome</author>
  </authors>
  <commentList>
    <comment ref="A4" authorId="0" shapeId="0">
      <text>
        <t>Code
Stabile Kennung fuers Game Design.</t>
      </text>
    </comment>
    <comment ref="D4" authorId="0" shapeId="0">
      <text>
        <t>Datei-Slug
Der Dateiname ohne Richtung -- so heisst das Teil im Code.</t>
      </text>
    </comment>
    <comment ref="E4" authorId="0" shapeId="0">
      <text>
        <t>HP
Strukturpunkte. Ein DROME hat keine Grundwerte -- seine Lebensleiste ist die Summe aus Chassis und Kopf.</t>
      </text>
    </comment>
    <comment ref="F4" authorId="0" shapeId="0">
      <text>
        <t>DEF
Schadensminderung.</t>
      </text>
    </comment>
    <comment ref="G4" authorId="0" shapeId="0">
      <text>
        <t>SPD
Tempo auf der TICK-Leiste: so viel fuellt der DROME je Tick, bei 100 ist er am Zug. Muss im fertigen Aufbau mindestens 1 sein.</t>
      </text>
    </comment>
    <comment ref="H4" authorId="0" shapeId="0">
      <text>
        <t>MOV
Felder je Zug. Muss im fertigen Aufbau mindestens 1 sein.</t>
      </text>
    </comment>
    <comment ref="I4" authorId="0" shapeId="0">
      <text>
        <t>Traglast
Nur Chassis: wie viel Gewicht der Aufbau insgesamt tragen darf.</t>
      </text>
    </comment>
    <comment ref="J4" authorId="0" shapeId="0">
      <text>
        <t>EN max
Energiespeicher. Bezahlt die EN-Kosten der Aktionen.</t>
      </text>
    </comment>
    <comment ref="K4" authorId="0" shapeId="0">
      <text>
        <t>Slots
Zahl der equip_*-Anker. Ein Chassis bekommt einen weiteren Slot, indem es einen weiteren Anker in seine JSON schreibt -- kein Sonderfall im Code.</t>
      </text>
    </comment>
    <comment ref="M4" authorId="0" shapeId="0">
      <text>
        <t>Threat-Beitrag
Beitrag zum Threat Score aus drome_build.gd: 1×HP · 8×DEF · 3×SPD · 4×MOV · 0.5×EN max. Die Werte, die dieser Bauteiltyp gar nicht fuehrt, sind ueberall 0 und stehen deshalb nicht in der Formel. Ueber diese Spalte lassen sich Teile verschiedener Typen vergleichen.</t>
      </text>
    </comment>
    <comment ref="N4" authorId="0" shapeId="0">
      <text>
        <t>Silhouetten-Merkmal
Woran der Spieler das Teil auf dem Feld erkennt. parts/README.md, Abschnitt 6a.</t>
      </text>
    </comment>
  </commentList>
</comments>
</file>

<file path=xl/comments/comment3.xml><?xml version="1.0" encoding="utf-8"?>
<comments xmlns="http://schemas.openxmlformats.org/spreadsheetml/2006/main">
  <authors>
    <author>CyberDrome</author>
  </authors>
  <commentList>
    <comment ref="A4" authorId="0" shapeId="0">
      <text>
        <t>Code
Stabile Kennung fuers Game Design.</t>
      </text>
    </comment>
    <comment ref="D4" authorId="0" shapeId="0">
      <text>
        <t>Datei-Slug
Der Dateiname ohne Richtung -- so heisst das Teil im Code.</t>
      </text>
    </comment>
    <comment ref="E4" authorId="0" shapeId="0">
      <text>
        <t>ATK
Angriffsbonus, additiv auf die Power der Aktion.</t>
      </text>
    </comment>
    <comment ref="F4" authorId="0" shapeId="0">
      <text>
        <t>DEF
Schadensminderung.</t>
      </text>
    </comment>
    <comment ref="G4" authorId="0" shapeId="0">
      <text>
        <t>HP
Strukturpunkte. Ein DROME hat keine Grundwerte -- seine Lebensleiste ist die Summe aus Chassis und Kopf.</t>
      </text>
    </comment>
    <comment ref="H4" authorId="0" shapeId="0">
      <text>
        <t>SPD
Tempo auf der TICK-Leiste: so viel fuellt der DROME je Tick, bei 100 ist er am Zug. Muss im fertigen Aufbau mindestens 1 sein.</t>
      </text>
    </comment>
    <comment ref="I4" authorId="0" shapeId="0">
      <text>
        <t>EN max
Energiespeicher. Bezahlt die EN-Kosten der Aktionen.</t>
      </text>
    </comment>
    <comment ref="J4" authorId="0" shapeId="0">
      <text>
        <t>EN/Zyklus
Energie, die je Zyklus nachlaeuft.</t>
      </text>
    </comment>
    <comment ref="K4" authorId="0" shapeId="0">
      <text>
        <t>Gewicht
Zaehlt gegen die Traglast des Chassis.</t>
      </text>
    </comment>
    <comment ref="L4" authorId="0" shapeId="0">
      <text>
        <t>Energiebedarf
Zaehlt gegen die Energieabgabe des Kerns.</t>
      </text>
    </comment>
    <comment ref="M4" authorId="0" shapeId="0">
      <text>
        <t>sieht durch Haze
Haze-Felder blockieren die Sichtlinie dieses DROME nicht.</t>
      </text>
    </comment>
    <comment ref="N4" authorId="0" shapeId="0">
      <text>
        <t>Threat-Beitrag
Beitrag zum Threat Score aus drome_build.gd: 1×HP · 6×ATK · 8×DEF · 3×SPD · 0.5×EN max. Die Werte, die dieser Bauteiltyp gar nicht fuehrt, sind ueberall 0 und stehen deshalb nicht in der Formel. Ueber diese Spalte lassen sich Teile verschiedener Typen vergleichen.</t>
      </text>
    </comment>
    <comment ref="O4" authorId="0" shapeId="0">
      <text>
        <t>Silhouetten-Merkmal
Woran der Spieler das Teil auf dem Feld erkennt. parts/README.md, Abschnitt 6a.</t>
      </text>
    </comment>
  </commentList>
</comments>
</file>

<file path=xl/comments/comment4.xml><?xml version="1.0" encoding="utf-8"?>
<comments xmlns="http://schemas.openxmlformats.org/spreadsheetml/2006/main">
  <authors>
    <author>CyberDrome</author>
  </authors>
  <commentList>
    <comment ref="A4" authorId="0" shapeId="0">
      <text>
        <t>Code
Stabile Kennung fuers Game Design.</t>
      </text>
    </comment>
    <comment ref="D4" authorId="0" shapeId="0">
      <text>
        <t>Datei-Slug
Der Dateiname ohne Richtung -- so heisst das Teil im Code.</t>
      </text>
    </comment>
    <comment ref="E4" authorId="0" shapeId="0">
      <text>
        <t>MOV
Felder je Zug. Muss im fertigen Aufbau mindestens 1 sein.</t>
      </text>
    </comment>
    <comment ref="F4" authorId="0" shapeId="0">
      <text>
        <t>SPD
Tempo auf der TICK-Leiste: so viel fuellt der DROME je Tick, bei 100 ist er am Zug. Muss im fertigen Aufbau mindestens 1 sein.</t>
      </text>
    </comment>
    <comment ref="G4" authorId="0" shapeId="0">
      <text>
        <t>DEF
Schadensminderung.</t>
      </text>
    </comment>
    <comment ref="H4" authorId="0" shapeId="0">
      <text>
        <t>Gewicht
Zaehlt gegen die Traglast des Chassis.</t>
      </text>
    </comment>
    <comment ref="I4" authorId="0" shapeId="0">
      <text>
        <t>Energiebedarf
Zaehlt gegen die Energieabgabe des Kerns.</t>
      </text>
    </comment>
    <comment ref="J4" authorId="0" shapeId="0">
      <text>
        <t>durch Einheiten
Darf Felder anderer Einheiten durchqueren.</t>
      </text>
    </comment>
    <comment ref="K4" authorId="0" shapeId="0">
      <text>
        <t>Stufen
Darf Stufen-Felder betreten.</t>
      </text>
    </comment>
    <comment ref="L4" authorId="0" shapeId="0">
      <text>
        <t>Drift egal
Drift-Zonen schieben diesen DROME nicht.</t>
      </text>
    </comment>
    <comment ref="M4" authorId="0" shapeId="0">
      <text>
        <t>Drift +/-
Zusaetzliche Felder, die eine Drift-Zone schiebt. Positiv heisst: rutscht weiter.</t>
      </text>
    </comment>
    <comment ref="N4" authorId="0" shapeId="0">
      <text>
        <t>Stufen billiger
Stufen kosten weniger Bewegung.</t>
      </text>
    </comment>
    <comment ref="O4" authorId="0" shapeId="0">
      <text>
        <t>Threat-Beitrag
Beitrag zum Threat Score aus drome_build.gd: 8×DEF · 3×SPD · 4×MOV. Die Werte, die dieser Bauteiltyp gar nicht fuehrt, sind ueberall 0 und stehen deshalb nicht in der Formel. Ueber diese Spalte lassen sich Teile verschiedener Typen vergleichen.</t>
      </text>
    </comment>
    <comment ref="P4" authorId="0" shapeId="0">
      <text>
        <t>Silhouetten-Merkmal
Woran der Spieler das Teil auf dem Feld erkennt. parts/README.md, Abschnitt 6a.</t>
      </text>
    </comment>
  </commentList>
</comments>
</file>

<file path=xl/comments/comment5.xml><?xml version="1.0" encoding="utf-8"?>
<comments xmlns="http://schemas.openxmlformats.org/spreadsheetml/2006/main">
  <authors>
    <author>CyberDrome</author>
  </authors>
  <commentList>
    <comment ref="A4" authorId="0" shapeId="0">
      <text>
        <t>Code
Stabile Kennung fuers Game Design.</t>
      </text>
    </comment>
    <comment ref="D4" authorId="0" shapeId="0">
      <text>
        <t>Datei-Slug
Der Dateiname ohne Richtung -- so heisst das Teil im Code.</t>
      </text>
    </comment>
    <comment ref="E4" authorId="0" shapeId="0">
      <text>
        <t>EN max
Energiespeicher. Bezahlt die EN-Kosten der Aktionen.</t>
      </text>
    </comment>
    <comment ref="F4" authorId="0" shapeId="0">
      <text>
        <t>EN/Zyklus
Energie, die je Zyklus nachlaeuft.</t>
      </text>
    </comment>
    <comment ref="G4" authorId="0" shapeId="0">
      <text>
        <t>Energieabgabe
Nur Kern: wie viel Energiebedarf der Aufbau insgesamt haben darf.</t>
      </text>
    </comment>
    <comment ref="H4" authorId="0" shapeId="0">
      <text>
        <t>ATK
Angriffsbonus, additiv auf die Power der Aktion.</t>
      </text>
    </comment>
    <comment ref="I4" authorId="0" shapeId="0">
      <text>
        <t>Gewicht
Zaehlt gegen die Traglast des Chassis.</t>
      </text>
    </comment>
    <comment ref="J4" authorId="0" shapeId="0">
      <text>
        <t>Threat-Beitrag
Beitrag zum Threat Score aus drome_build.gd: 6×ATK · 0.5×EN max. Die Werte, die dieser Bauteiltyp gar nicht fuehrt, sind ueberall 0 und stehen deshalb nicht in der Formel. Ueber diese Spalte lassen sich Teile verschiedener Typen vergleichen.</t>
      </text>
    </comment>
    <comment ref="K4" authorId="0" shapeId="0">
      <text>
        <t>Silhouetten-Merkmal
Woran der Spieler das Teil auf dem Feld erkennt. parts/README.md, Abschnitt 6a.</t>
      </text>
    </comment>
  </commentList>
</comments>
</file>

<file path=xl/comments/comment6.xml><?xml version="1.0" encoding="utf-8"?>
<comments xmlns="http://schemas.openxmlformats.org/spreadsheetml/2006/main">
  <authors>
    <author>CyberDrome</author>
  </authors>
  <commentList>
    <comment ref="A4" authorId="0" shapeId="0">
      <text>
        <t>Code
Stabile Kennung fuers Game Design.</t>
      </text>
    </comment>
    <comment ref="D4" authorId="0" shapeId="0">
      <text>
        <t>Datei-Slug
Der Dateiname ohne Richtung -- so heisst das Teil im Code.</t>
      </text>
    </comment>
    <comment ref="E4" authorId="0" shapeId="0">
      <text>
        <t>Montageklasse
Was die HALTERUNG aushalten muss -- Masse, Rueckstoss, Hebel. Nicht das Gewicht allein. Welcher Slot welche Klasse nimmt, steht auf dem Blatt „Chassis &amp; Slots“.</t>
      </text>
    </comment>
    <comment ref="F4" authorId="0" shapeId="0">
      <text>
        <t>Gewicht
Zaehlt gegen die Traglast des Chassis.</t>
      </text>
    </comment>
    <comment ref="G4" authorId="0" shapeId="0">
      <text>
        <t>Energiebedarf
Zaehlt gegen die Energieabgabe des Kerns.</t>
      </text>
    </comment>
    <comment ref="H4" authorId="0" shapeId="0">
      <text>
        <t>ATK
Angriffsbonus, additiv auf die Power der Aktion.</t>
      </text>
    </comment>
    <comment ref="I4" authorId="0" shapeId="0">
      <text>
        <t>DEF
Schadensminderung.</t>
      </text>
    </comment>
    <comment ref="J4" authorId="0" shapeId="0">
      <text>
        <t>Aktion
Passive Teile gewaehren keine Aktion.</t>
      </text>
    </comment>
    <comment ref="L4" authorId="0" shapeId="0">
      <text>
        <t>Power
Positiv = Schaden, negativ = Heilung. Ein Vorzeichen statt zweier Felder.</t>
      </text>
    </comment>
    <comment ref="M4" authorId="0" shapeId="0">
      <text>
        <t>Reichweite
Felder bis zum Ziel.</t>
      </text>
    </comment>
    <comment ref="N4" authorId="0" shapeId="0">
      <text>
        <t>AoE
Radius um das Ziel. 0 = nur das Ziel selbst.</t>
      </text>
    </comment>
    <comment ref="O4" authorId="0" shapeId="0">
      <text>
        <t>EN-Kosten
Energie je Einsatz.</t>
      </text>
    </comment>
    <comment ref="P4" authorId="0" shapeId="0">
      <text>
        <t>Sichtlinie
Braucht freie Sicht zum Ziel.</t>
      </text>
    </comment>
    <comment ref="Q4" authorId="0" shapeId="0">
      <text>
        <t>Schub
Positiv = wegstossen, negativ = heranziehen.</t>
      </text>
    </comment>
    <comment ref="R4" authorId="0" shapeId="0">
      <text>
        <t>Power je EN
Schaden je Energiepunkt. „kostenlos“ heisst: die Aktion kostet gar keine Energie und laesst sich jeden Zug einsetzen.</t>
      </text>
    </comment>
    <comment ref="S4" authorId="0" shapeId="0">
      <text>
        <t>Power je Gewicht
Schaden je Gewichtspunkt -- die Waehrung, in der die Traglast des Chassis bezahlt wird.</t>
      </text>
    </comment>
    <comment ref="T4" authorId="0" shapeId="0">
      <text>
        <t>Threat als staerkste Waffe
Zusatzbeitrag zum Threat Score -- aber nur fuer die staerkste Waffe eines Aufbaus, nicht fuer jede. Deshalb steht der Wert neben dem Threat-Beitrag und nicht darin.</t>
      </text>
    </comment>
    <comment ref="U4" authorId="0" shapeId="0">
      <text>
        <t>Threat-Beitrag
Beitrag zum Threat Score aus drome_build.gd: 6×ATK · 8×DEF. Die Werte, die dieser Bauteiltyp gar nicht fuehrt, sind ueberall 0 und stehen deshalb nicht in der Formel. Ueber diese Spalte lassen sich Teile verschiedener Typen vergleichen.</t>
      </text>
    </comment>
    <comment ref="V4" authorId="0" shapeId="0">
      <text>
        <t>Silhouetten-Merkmal
Woran der Spieler das Teil auf dem Feld erkennt. parts/README.md, Abschnitt 6a.</t>
      </text>
    </comment>
  </commentList>
</comments>
</file>

<file path=xl/comments/comment7.xml><?xml version="1.0" encoding="utf-8"?>
<comments xmlns="http://schemas.openxmlformats.org/spreadsheetml/2006/main">
  <authors>
    <author>CyberDrome</author>
  </authors>
  <commentList>
    <comment ref="A4" authorId="0" shapeId="0">
      <text>
        <t>Code
Stabile Kennung fuers Game Design.</t>
      </text>
    </comment>
    <comment ref="D4" authorId="0" shapeId="0">
      <text>
        <t>Datei-Slug
Der Dateiname ohne Richtung -- so heisst das Teil im Code.</t>
      </text>
    </comment>
    <comment ref="F4" authorId="0" shapeId="0">
      <text>
        <t>Montageklasse
Was die HALTERUNG aushalten muss -- Masse, Rueckstoss, Hebel. Nicht das Gewicht allein. Welcher Slot welche Klasse nimmt, steht auf dem Blatt „Chassis &amp; Slots“.</t>
      </text>
    </comment>
    <comment ref="G4" authorId="0" shapeId="0">
      <text>
        <t>Gewicht
Zaehlt gegen die Traglast des Chassis.</t>
      </text>
    </comment>
    <comment ref="H4" authorId="0" shapeId="0">
      <text>
        <t>Energiebedarf
Zaehlt gegen die Energieabgabe des Kerns.</t>
      </text>
    </comment>
    <comment ref="I4" authorId="0" shapeId="0">
      <text>
        <t>ATK
Angriffsbonus, additiv auf die Power der Aktion.</t>
      </text>
    </comment>
    <comment ref="J4" authorId="0" shapeId="0">
      <text>
        <t>DEF
Schadensminderung.</t>
      </text>
    </comment>
    <comment ref="K4" authorId="0" shapeId="0">
      <text>
        <t>Aktion
Passive Teile gewaehren keine Aktion.</t>
      </text>
    </comment>
    <comment ref="M4" authorId="0" shapeId="0">
      <text>
        <t>Power
Positiv = Schaden, negativ = Heilung. Ein Vorzeichen statt zweier Felder.</t>
      </text>
    </comment>
    <comment ref="N4" authorId="0" shapeId="0">
      <text>
        <t>Reichweite
Felder bis zum Ziel.</t>
      </text>
    </comment>
    <comment ref="O4" authorId="0" shapeId="0">
      <text>
        <t>AoE
Radius um das Ziel. 0 = nur das Ziel selbst.</t>
      </text>
    </comment>
    <comment ref="P4" authorId="0" shapeId="0">
      <text>
        <t>EN-Kosten
Energie je Einsatz.</t>
      </text>
    </comment>
    <comment ref="Q4" authorId="0" shapeId="0">
      <text>
        <t>Sichtlinie
Braucht freie Sicht zum Ziel.</t>
      </text>
    </comment>
    <comment ref="R4" authorId="0" shapeId="0">
      <text>
        <t>Schub
Positiv = wegstossen, negativ = heranziehen.</t>
      </text>
    </comment>
    <comment ref="S4" authorId="0" shapeId="0">
      <text>
        <t>Wirkung
Liest die Spalte „Power“: positiv ist Schaden, negativ Heilung, 0 heisst reine Verschiebung oder Status.</t>
      </text>
    </comment>
    <comment ref="T4" authorId="0" shapeId="0">
      <text>
        <t>Threat-Beitrag
Beitrag zum Threat Score aus drome_build.gd: 6×ATK · 8×DEF. Die Werte, die dieser Bauteiltyp gar nicht fuehrt, sind ueberall 0 und stehen deshalb nicht in der Formel. Ueber diese Spalte lassen sich Teile verschiedener Typen vergleichen.</t>
      </text>
    </comment>
    <comment ref="U4" authorId="0" shapeId="0">
      <text>
        <t>Silhouetten-Merkmal
Woran der Spieler das Teil auf dem Feld erkennt. parts/README.md, Abschnitt 6a.</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5.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6.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7.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8.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sheet1.xml><?xml version="1.0" encoding="utf-8"?>
<worksheet xmlns="http://schemas.openxmlformats.org/spreadsheetml/2006/main">
  <sheetPr>
    <outlinePr summaryBelow="1" summaryRight="1"/>
    <pageSetUpPr/>
  </sheetPr>
  <dimension ref="A1:C73"/>
  <sheetViews>
    <sheetView workbookViewId="0">
      <selection activeCell="A1" sqref="A1"/>
    </sheetView>
  </sheetViews>
  <sheetFormatPr baseColWidth="8" defaultRowHeight="15"/>
  <cols>
    <col width="24" customWidth="1" min="1" max="1"/>
    <col width="20" customWidth="1" min="2" max="2"/>
    <col width="74" customWidth="1" min="3" max="3"/>
  </cols>
  <sheetData>
    <row r="1">
      <c r="A1" s="1" t="inlineStr">
        <is>
          <t>CyberDrome -- Teile-Uebersicht</t>
        </is>
      </c>
    </row>
    <row r="2">
      <c r="A2" s="2" t="inlineStr">
        <is>
          <t>Erzeugt aus parts/ durch tools/export_parts_table.py. Nicht von Hand pflegen, sondern neu erzeugen.</t>
        </is>
      </c>
    </row>
    <row r="4" ht="30" customHeight="1">
      <c r="A4" s="3" t="inlineStr">
        <is>
          <t>Blatt</t>
        </is>
      </c>
      <c r="B4" s="3" t="inlineStr"/>
      <c r="C4" s="3" t="inlineStr">
        <is>
          <t>Was drin steht</t>
        </is>
      </c>
    </row>
    <row r="5" ht="28" customHeight="1">
      <c r="A5" s="4" t="inlineStr">
        <is>
          <t>Alle Teile</t>
        </is>
      </c>
      <c r="B5" s="5" t="inlineStr">
        <is>
          <t>Volle Tabelle aller Teile zum Filtern und Sortieren.</t>
        </is>
      </c>
    </row>
    <row r="6" ht="28" customHeight="1">
      <c r="A6" s="4" t="inlineStr">
        <is>
          <t>Koerperteile</t>
        </is>
      </c>
      <c r="B6" s="5" t="inlineStr">
        <is>
          <t>Chassis: HP, Panzerung, Traglast, Ausruestungsslots.</t>
        </is>
      </c>
    </row>
    <row r="7" ht="28" customHeight="1">
      <c r="A7" s="4" t="inlineStr">
        <is>
          <t>Kopfteile</t>
        </is>
      </c>
      <c r="B7" s="5" t="inlineStr">
        <is>
          <t>Sensorik: Zielwert, Sicht, Panzerung am Kopf.</t>
        </is>
      </c>
    </row>
    <row r="8" ht="28" customHeight="1">
      <c r="A8" s="4" t="inlineStr">
        <is>
          <t>Fussteile</t>
        </is>
      </c>
      <c r="B8" s="5" t="inlineStr">
        <is>
          <t>Antriebe: Bewegung, Tempo, Gelaendeverhalten.</t>
        </is>
      </c>
    </row>
    <row r="9" ht="28" customHeight="1">
      <c r="A9" s="4" t="inlineStr">
        <is>
          <t>Kerne</t>
        </is>
      </c>
      <c r="B9" s="5" t="inlineStr">
        <is>
          <t>Energiespeicher und Energieabgabe -- das Budget des Aufbaus.</t>
        </is>
      </c>
    </row>
    <row r="10" ht="28" customHeight="1">
      <c r="A10" s="4" t="inlineStr">
        <is>
          <t>Ausruestung Waffen</t>
        </is>
      </c>
      <c r="B10" s="5" t="inlineStr">
        <is>
          <t>Alles mit Bauart „Waffe“, samt Aktionswerten.</t>
        </is>
      </c>
    </row>
    <row r="11" ht="28" customHeight="1">
      <c r="A11" s="4" t="inlineStr">
        <is>
          <t>Ausruestung Sonstiges</t>
        </is>
      </c>
      <c r="B11" s="5" t="inlineStr">
        <is>
          <t>Schilde und Support-Module.</t>
        </is>
      </c>
    </row>
    <row r="12" ht="28" customHeight="1">
      <c r="A12" s="4" t="inlineStr">
        <is>
          <t>Chassis &amp; Slots</t>
        </is>
      </c>
      <c r="B12" s="5" t="inlineStr">
        <is>
          <t>Je Chassis: wie viele Ausruestungsanker, und was jeder annimmt.</t>
        </is>
      </c>
    </row>
    <row r="13" ht="28" customHeight="1">
      <c r="A13" s="4" t="inlineStr">
        <is>
          <t>Kompatibilitaet</t>
        </is>
      </c>
      <c r="B13" s="5" t="inlineStr">
        <is>
          <t>Lebende Matrix: welches Ausruestungsteil an welchen Slot passt. Rechnet aus „Klasse“ und „Bauart“ -- aendert man die, aendert sich die Matrix mit.</t>
        </is>
      </c>
    </row>
    <row r="14" ht="28" customHeight="1">
      <c r="A14" s="4" t="inlineStr">
        <is>
          <t>Silhouetten</t>
        </is>
      </c>
      <c r="B14" s="5" t="inlineStr">
        <is>
          <t>Wie aehnlich sich zwei Teile desselben Typs sehen. 1.00 waere ununterscheidbar; ab 0.80 bricht der Generator bei Ausruestung ab.</t>
        </is>
      </c>
    </row>
    <row r="16">
      <c r="A16" s="6" t="inlineStr">
        <is>
          <t>Bestand</t>
        </is>
      </c>
      <c r="B16" s="2" t="inlineStr">
        <is>
          <t>zaehlt das Blatt „Alle Teile“ -- kommt ein Teil dazu, stimmt die Zahl von selbst</t>
        </is>
      </c>
    </row>
    <row r="17" ht="30" customHeight="1">
      <c r="A17" s="3" t="inlineStr">
        <is>
          <t>Bauteiltyp</t>
        </is>
      </c>
      <c r="B17" s="3" t="inlineStr">
        <is>
          <t>Anzahl</t>
        </is>
      </c>
      <c r="C17" s="3" t="inlineStr">
        <is>
          <t>Rolle im Spiel</t>
        </is>
      </c>
    </row>
    <row r="18">
      <c r="A18" s="7" t="inlineStr">
        <is>
          <t>Koerper</t>
        </is>
      </c>
      <c r="B18" s="8">
        <f>COUNTIF('Alle Teile'!$D$5:$D$27,A18)</f>
        <v/>
      </c>
      <c r="C18" s="9" t="inlineStr">
        <is>
          <t>Chassis: HP, Panzerung, Traglast -- und die Zahl der Ausruestungsslots</t>
        </is>
      </c>
    </row>
    <row r="19">
      <c r="A19" s="7" t="inlineStr">
        <is>
          <t>Kopf</t>
        </is>
      </c>
      <c r="B19" s="8">
        <f>COUNTIF('Alle Teile'!$D$5:$D$27,A19)</f>
        <v/>
      </c>
      <c r="C19" s="9" t="inlineStr">
        <is>
          <t>Sensorik: Sicht, Zielwert, Statusresistenz</t>
        </is>
      </c>
    </row>
    <row r="20">
      <c r="A20" s="7" t="inlineStr">
        <is>
          <t>Fuesse</t>
        </is>
      </c>
      <c r="B20" s="8">
        <f>COUNTIF('Alle Teile'!$D$5:$D$27,A20)</f>
        <v/>
      </c>
      <c r="C20" s="9" t="inlineStr">
        <is>
          <t>Bewegungsreichweite, Gelaendeverhalten, Tempo</t>
        </is>
      </c>
    </row>
    <row r="21">
      <c r="A21" s="7" t="inlineStr">
        <is>
          <t>Kern</t>
        </is>
      </c>
      <c r="B21" s="8">
        <f>COUNTIF('Alle Teile'!$D$5:$D$27,A21)</f>
        <v/>
      </c>
      <c r="C21" s="9" t="inlineStr">
        <is>
          <t>Identitaet der Einheit: Energiespeicher und Energieabgabe</t>
        </is>
      </c>
    </row>
    <row r="22">
      <c r="A22" s="7" t="inlineStr">
        <is>
          <t>Ausruestung</t>
        </is>
      </c>
      <c r="B22" s="8">
        <f>COUNTIF('Alle Teile'!$D$5:$D$27,A22)</f>
        <v/>
      </c>
      <c r="C22" s="9" t="inlineStr">
        <is>
          <t>Waffen, Schilde, Support-Module -- alles, was Aktionen gewaehrt</t>
        </is>
      </c>
    </row>
    <row r="23">
      <c r="A23" s="4" t="inlineStr">
        <is>
          <t>Summe</t>
        </is>
      </c>
      <c r="B23" s="10">
        <f>SUM(B18:B22)</f>
        <v/>
      </c>
    </row>
    <row r="25">
      <c r="A25" s="6" t="inlineStr">
        <is>
          <t>Spielwerte</t>
        </is>
      </c>
      <c r="B25" s="2" t="inlineStr">
        <is>
          <t>Ein DROME hat keine Grundwerte: jeder Wert ist die Summe seiner Teile (drome_build.gd)</t>
        </is>
      </c>
    </row>
    <row r="26" ht="30" customHeight="1">
      <c r="A26" s="3" t="inlineStr">
        <is>
          <t>Feld in der JSON</t>
        </is>
      </c>
      <c r="B26" s="3" t="inlineStr">
        <is>
          <t>Spalte</t>
        </is>
      </c>
      <c r="C26" s="3" t="inlineStr">
        <is>
          <t>Bedeutung</t>
        </is>
      </c>
    </row>
    <row r="27" ht="26" customHeight="1">
      <c r="A27" s="11" t="inlineStr">
        <is>
          <t>hp</t>
        </is>
      </c>
      <c r="B27" s="12" t="inlineStr">
        <is>
          <t>HP</t>
        </is>
      </c>
      <c r="C27" s="9" t="inlineStr">
        <is>
          <t>Strukturpunkte. Ein DROME hat keine Grundwerte -- seine Lebensleiste ist die Summe aus Chassis und Kopf.</t>
        </is>
      </c>
    </row>
    <row r="28" ht="26" customHeight="1">
      <c r="A28" s="11" t="inlineStr">
        <is>
          <t>en_max</t>
        </is>
      </c>
      <c r="B28" s="12" t="inlineStr">
        <is>
          <t>EN max</t>
        </is>
      </c>
      <c r="C28" s="9" t="inlineStr">
        <is>
          <t>Energiespeicher. Bezahlt die EN-Kosten der Aktionen.</t>
        </is>
      </c>
    </row>
    <row r="29" ht="26" customHeight="1">
      <c r="A29" s="11" t="inlineStr">
        <is>
          <t>en_regen</t>
        </is>
      </c>
      <c r="B29" s="12" t="inlineStr">
        <is>
          <t>EN/Zyklus</t>
        </is>
      </c>
      <c r="C29" s="9" t="inlineStr">
        <is>
          <t>Energie, die je Zyklus nachlaeuft.</t>
        </is>
      </c>
    </row>
    <row r="30" ht="26" customHeight="1">
      <c r="A30" s="11" t="inlineStr">
        <is>
          <t>spd</t>
        </is>
      </c>
      <c r="B30" s="12" t="inlineStr">
        <is>
          <t>SPD</t>
        </is>
      </c>
      <c r="C30" s="9" t="inlineStr">
        <is>
          <t>Tempo auf der TICK-Leiste: so viel fuellt der DROME je Tick, bei 100 ist er am Zug. Muss im fertigen Aufbau mindestens 1 sein.</t>
        </is>
      </c>
    </row>
    <row r="31" ht="26" customHeight="1">
      <c r="A31" s="11" t="inlineStr">
        <is>
          <t>mov</t>
        </is>
      </c>
      <c r="B31" s="12" t="inlineStr">
        <is>
          <t>MOV</t>
        </is>
      </c>
      <c r="C31" s="9" t="inlineStr">
        <is>
          <t>Felder je Zug. Muss im fertigen Aufbau mindestens 1 sein.</t>
        </is>
      </c>
    </row>
    <row r="32" ht="26" customHeight="1">
      <c r="A32" s="11" t="inlineStr">
        <is>
          <t>atk</t>
        </is>
      </c>
      <c r="B32" s="12" t="inlineStr">
        <is>
          <t>ATK</t>
        </is>
      </c>
      <c r="C32" s="9" t="inlineStr">
        <is>
          <t>Angriffsbonus, additiv auf die Power der Aktion.</t>
        </is>
      </c>
    </row>
    <row r="33" ht="26" customHeight="1">
      <c r="A33" s="11" t="inlineStr">
        <is>
          <t>def</t>
        </is>
      </c>
      <c r="B33" s="12" t="inlineStr">
        <is>
          <t>DEF</t>
        </is>
      </c>
      <c r="C33" s="9" t="inlineStr">
        <is>
          <t>Schadensminderung.</t>
        </is>
      </c>
    </row>
    <row r="34" ht="26" customHeight="1">
      <c r="A34" s="11" t="inlineStr">
        <is>
          <t>weight</t>
        </is>
      </c>
      <c r="B34" s="12" t="inlineStr">
        <is>
          <t>Gewicht</t>
        </is>
      </c>
      <c r="C34" s="9" t="inlineStr">
        <is>
          <t>Zaehlt gegen die Traglast des Chassis.</t>
        </is>
      </c>
    </row>
    <row r="35" ht="26" customHeight="1">
      <c r="A35" s="11" t="inlineStr">
        <is>
          <t>power_draw</t>
        </is>
      </c>
      <c r="B35" s="12" t="inlineStr">
        <is>
          <t>Energiebedarf</t>
        </is>
      </c>
      <c r="C35" s="9" t="inlineStr">
        <is>
          <t>Zaehlt gegen die Energieabgabe des Kerns.</t>
        </is>
      </c>
    </row>
    <row r="36" ht="26" customHeight="1">
      <c r="A36" s="11" t="inlineStr">
        <is>
          <t>weight_capacity</t>
        </is>
      </c>
      <c r="B36" s="12" t="inlineStr">
        <is>
          <t>Traglast</t>
        </is>
      </c>
      <c r="C36" s="9" t="inlineStr">
        <is>
          <t>Nur Chassis: wie viel Gewicht der Aufbau insgesamt tragen darf.</t>
        </is>
      </c>
    </row>
    <row r="37" ht="26" customHeight="1">
      <c r="A37" s="11" t="inlineStr">
        <is>
          <t>power_output</t>
        </is>
      </c>
      <c r="B37" s="12" t="inlineStr">
        <is>
          <t>Energieabgabe</t>
        </is>
      </c>
      <c r="C37" s="9" t="inlineStr">
        <is>
          <t>Nur Kern: wie viel Energiebedarf der Aufbau insgesamt haben darf.</t>
        </is>
      </c>
    </row>
    <row r="38" ht="26" customHeight="1">
      <c r="A38" s="11" t="inlineStr">
        <is>
          <t>can_pass_units</t>
        </is>
      </c>
      <c r="B38" s="12" t="inlineStr">
        <is>
          <t>durch Einheiten</t>
        </is>
      </c>
      <c r="C38" s="9" t="inlineStr">
        <is>
          <t>Darf Felder anderer Einheiten durchqueren.</t>
        </is>
      </c>
    </row>
    <row r="39" ht="26" customHeight="1">
      <c r="A39" s="11" t="inlineStr">
        <is>
          <t>can_enter_steps</t>
        </is>
      </c>
      <c r="B39" s="12" t="inlineStr">
        <is>
          <t>Stufen</t>
        </is>
      </c>
      <c r="C39" s="9" t="inlineStr">
        <is>
          <t>Darf Stufen-Felder betreten.</t>
        </is>
      </c>
    </row>
    <row r="40" ht="26" customHeight="1">
      <c r="A40" s="11" t="inlineStr">
        <is>
          <t>ignores_drift</t>
        </is>
      </c>
      <c r="B40" s="12" t="inlineStr">
        <is>
          <t>Drift egal</t>
        </is>
      </c>
      <c r="C40" s="9" t="inlineStr">
        <is>
          <t>Drift-Zonen schieben diesen DROME nicht.</t>
        </is>
      </c>
    </row>
    <row r="41" ht="26" customHeight="1">
      <c r="A41" s="11" t="inlineStr">
        <is>
          <t>drift_modifier</t>
        </is>
      </c>
      <c r="B41" s="12" t="inlineStr">
        <is>
          <t>Drift +/-</t>
        </is>
      </c>
      <c r="C41" s="9" t="inlineStr">
        <is>
          <t>Zusaetzliche Felder, die eine Drift-Zone schiebt. Positiv heisst: rutscht weiter.</t>
        </is>
      </c>
    </row>
    <row r="42" ht="26" customHeight="1">
      <c r="A42" s="11" t="inlineStr">
        <is>
          <t>step_cost_reduced</t>
        </is>
      </c>
      <c r="B42" s="12" t="inlineStr">
        <is>
          <t>Stufen billiger</t>
        </is>
      </c>
      <c r="C42" s="9" t="inlineStr">
        <is>
          <t>Stufen kosten weniger Bewegung.</t>
        </is>
      </c>
    </row>
    <row r="43" ht="26" customHeight="1">
      <c r="A43" s="11" t="inlineStr">
        <is>
          <t>grants_ignore_haze</t>
        </is>
      </c>
      <c r="B43" s="12" t="inlineStr">
        <is>
          <t>sieht durch Haze</t>
        </is>
      </c>
      <c r="C43" s="9" t="inlineStr">
        <is>
          <t>Haze-Felder blockieren die Sichtlinie dieses DROME nicht.</t>
        </is>
      </c>
    </row>
    <row r="45">
      <c r="A45" s="6" t="inlineStr">
        <is>
          <t>Aktionswerte</t>
        </is>
      </c>
      <c r="B45" s="2" t="inlineStr">
        <is>
          <t>Schaden ist deterministisch -- kein Trefferwurf, kein Krit, keine Ausweichchance (action_data.gd)</t>
        </is>
      </c>
    </row>
    <row r="46" ht="30" customHeight="1">
      <c r="A46" s="3" t="inlineStr">
        <is>
          <t>Feld in der JSON</t>
        </is>
      </c>
      <c r="B46" s="3" t="inlineStr">
        <is>
          <t>Spalte</t>
        </is>
      </c>
      <c r="C46" s="3" t="inlineStr">
        <is>
          <t>Bedeutung</t>
        </is>
      </c>
    </row>
    <row r="47">
      <c r="A47" s="11" t="inlineStr">
        <is>
          <t>range_tiles</t>
        </is>
      </c>
      <c r="B47" s="12" t="inlineStr">
        <is>
          <t>Reichweite</t>
        </is>
      </c>
      <c r="C47" s="9" t="inlineStr">
        <is>
          <t>Felder bis zum Ziel.</t>
        </is>
      </c>
    </row>
    <row r="48">
      <c r="A48" s="11" t="inlineStr">
        <is>
          <t>aoe_radius</t>
        </is>
      </c>
      <c r="B48" s="12" t="inlineStr">
        <is>
          <t>AoE</t>
        </is>
      </c>
      <c r="C48" s="9" t="inlineStr">
        <is>
          <t>Radius um das Ziel. 0 = nur das Ziel selbst.</t>
        </is>
      </c>
    </row>
    <row r="49">
      <c r="A49" s="11" t="inlineStr">
        <is>
          <t>en_cost</t>
        </is>
      </c>
      <c r="B49" s="12" t="inlineStr">
        <is>
          <t>EN-Kosten</t>
        </is>
      </c>
      <c r="C49" s="9" t="inlineStr">
        <is>
          <t>Energie je Einsatz.</t>
        </is>
      </c>
    </row>
    <row r="50">
      <c r="A50" s="11" t="inlineStr">
        <is>
          <t>power</t>
        </is>
      </c>
      <c r="B50" s="12" t="inlineStr">
        <is>
          <t>Power</t>
        </is>
      </c>
      <c r="C50" s="9" t="inlineStr">
        <is>
          <t>Positiv = Schaden, negativ = Heilung. Ein Vorzeichen statt zweier Felder.</t>
        </is>
      </c>
    </row>
    <row r="51">
      <c r="A51" s="11" t="inlineStr">
        <is>
          <t>requires_line_of_sight</t>
        </is>
      </c>
      <c r="B51" s="12" t="inlineStr">
        <is>
          <t>Sichtlinie</t>
        </is>
      </c>
      <c r="C51" s="9" t="inlineStr">
        <is>
          <t>Braucht freie Sicht zum Ziel.</t>
        </is>
      </c>
    </row>
    <row r="52">
      <c r="A52" s="11" t="inlineStr">
        <is>
          <t>push_tiles</t>
        </is>
      </c>
      <c r="B52" s="12" t="inlineStr">
        <is>
          <t>Schub</t>
        </is>
      </c>
      <c r="C52" s="9" t="inlineStr">
        <is>
          <t>Positiv = wegstossen, negativ = heranziehen.</t>
        </is>
      </c>
    </row>
    <row r="54">
      <c r="A54" s="6" t="inlineStr">
        <is>
          <t>Bauregeln</t>
        </is>
      </c>
      <c r="B54" s="2" t="inlineStr">
        <is>
          <t>Was die Werkstatt prueft, bevor ein Aufbau gueltig ist -- DromeBuild.validate()</t>
        </is>
      </c>
    </row>
    <row r="55" ht="26" customHeight="1">
      <c r="A55" s="5" t="inlineStr">
        <is>
          <t>• Chassis, Kopf, Antrieb und Kern sind Pflicht. Ohne eines davon ist der Aufbau ungueltig.</t>
        </is>
      </c>
    </row>
    <row r="56" ht="26" customHeight="1">
      <c r="A56" s="5" t="inlineStr">
        <is>
          <t>• Mindestens eine Waffe muss bestueckt sein.</t>
        </is>
      </c>
    </row>
    <row r="57" ht="26" customHeight="1">
      <c r="A57" s="5" t="inlineStr">
        <is>
          <t>• Summe Gewicht darf die Traglast des Chassis nicht ueberschreiten.</t>
        </is>
      </c>
    </row>
    <row r="58" ht="26" customHeight="1">
      <c r="A58" s="5" t="inlineStr">
        <is>
          <t>• Summe Energiebedarf darf die Energieabgabe des Kerns nicht ueberschreiten.</t>
        </is>
      </c>
    </row>
    <row r="59" ht="26" customHeight="1">
      <c r="A59" s="5" t="inlineStr">
        <is>
          <t>• MOV und SPD muessen im fertigen Aufbau mindestens 1 sein -- das Molok-Chassis zieht beide ins Minus und braucht deshalb einen Antrieb, der das auffaengt.</t>
        </is>
      </c>
    </row>
    <row r="60" ht="26" customHeight="1">
      <c r="A60" s="5" t="inlineStr">
        <is>
          <t>• Ein Ausruestungsteil muss die Regel seines Slots erfuellen (Montageklasse und Bauart). Siehe Blatt „Kompatibilitaet“.</t>
        </is>
      </c>
    </row>
    <row r="62">
      <c r="A62" s="6" t="inlineStr">
        <is>
          <t>Threat-Beitrag</t>
        </is>
      </c>
      <c r="B62" s="2" t="inlineStr">
        <is>
          <t>die einzige Spalte, die Teile verschiedener Typen vergleichbar macht</t>
        </is>
      </c>
    </row>
    <row r="63" ht="26" customHeight="1">
      <c r="A63" s="5" t="inlineStr">
        <is>
          <t>• Gewichtung aus DromeBuild.threat_score(): 1 × HP + 6 × ATK + 8 × DEF + 3 × SPD + 4 × MOV + 0.5 × EN max. Das Spiel benutzt genau diese Zahl, um dem Spielersquad ein gleich starkes Gegnersquad gegenueberzustellen (Chaos-Virus).</t>
        </is>
      </c>
    </row>
    <row r="64" ht="26" customHeight="1">
      <c r="A64" s="5" t="inlineStr">
        <is>
          <t>• Sie ist linear -- der Score eines Aufbaus ist die Summe der Beitraege seiner Teile. Deshalb laesst sich ueber diese eine Spalte ein Kopf mit einem Antrieb vergleichen, obwohl die beiden keinen einzigen Wert gemeinsam haben.</t>
        </is>
      </c>
    </row>
    <row r="65" ht="26" customHeight="1">
      <c r="A65" s="5" t="inlineStr">
        <is>
          <t>• Auf den Typblaettern stehen in der Formel nur die Werte, die der Typ ueberhaupt fuehrt. Die uebrigen sind dort bei jedem Teil null, das Ergebnis ist also dasselbe -- die Selbstpruefung des Skripts besteht darauf.</t>
        </is>
      </c>
    </row>
    <row r="66" ht="26" customHeight="1">
      <c r="A66" s="5" t="inlineStr">
        <is>
          <t>• Waffen gehen zusaetzlich mit 2 × Power ein, aber nur die STAERKSTE Waffe eines Aufbaus. Das haengt an der Bestueckung, nicht am Teil, und steht deshalb auf dem Waffenblatt in einer eigenen Spalte daneben.</t>
        </is>
      </c>
    </row>
    <row r="67" ht="26" customHeight="1">
      <c r="A67" s="5" t="inlineStr">
        <is>
          <t>• Was der Score NICHT abbildet: Reichweite, Traglast, Energiebedarf und alles Gelaende. Ein Antrieb, der Stufen betreten darf, ist dadurch keinen Punkt wert -- im Gefecht aber oft entscheidend.</t>
        </is>
      </c>
    </row>
    <row r="69">
      <c r="A69" s="6" t="inlineStr">
        <is>
          <t>Farben</t>
        </is>
      </c>
    </row>
    <row r="70">
      <c r="A70" s="7" t="inlineStr">
        <is>
          <t>Beispiel</t>
        </is>
      </c>
      <c r="B70" s="13" t="inlineStr">
        <is>
          <t>schwarz = Fakt aus der Teil-JSON</t>
        </is>
      </c>
    </row>
    <row r="71">
      <c r="A71" s="14" t="inlineStr">
        <is>
          <t>Beispiel</t>
        </is>
      </c>
      <c r="B71" s="13" t="inlineStr">
        <is>
          <t>blau hinterlegt = Formel, rechnet aus den Spalten daneben</t>
        </is>
      </c>
    </row>
    <row r="72">
      <c r="A72" s="15" t="inlineStr">
        <is>
          <t>Beispiel</t>
        </is>
      </c>
      <c r="B72" s="13" t="inlineStr">
        <is>
          <t>grau = Kennzahl ueber die ganze Spalte</t>
        </is>
      </c>
    </row>
    <row r="73">
      <c r="A73" s="16" t="inlineStr">
        <is>
          <t>Beispiel</t>
        </is>
      </c>
      <c r="B73" s="13" t="inlineStr">
        <is>
          <t>hellgrau = Hilfszeile, die die Matrix braucht</t>
        </is>
      </c>
    </row>
  </sheetData>
  <mergeCells count="25">
    <mergeCell ref="A66:C66"/>
    <mergeCell ref="B7:C7"/>
    <mergeCell ref="B72:C72"/>
    <mergeCell ref="A56:C56"/>
    <mergeCell ref="A55:C55"/>
    <mergeCell ref="B71:C71"/>
    <mergeCell ref="A57:C57"/>
    <mergeCell ref="B12:C12"/>
    <mergeCell ref="B70:C70"/>
    <mergeCell ref="B11:C11"/>
    <mergeCell ref="B14:C14"/>
    <mergeCell ref="B8:C8"/>
    <mergeCell ref="B73:C73"/>
    <mergeCell ref="B13:C13"/>
    <mergeCell ref="A63:C63"/>
    <mergeCell ref="B10:C10"/>
    <mergeCell ref="A58:C58"/>
    <mergeCell ref="A67:C67"/>
    <mergeCell ref="B9:C9"/>
    <mergeCell ref="A59:C59"/>
    <mergeCell ref="A64:C64"/>
    <mergeCell ref="B6:C6"/>
    <mergeCell ref="A60:C60"/>
    <mergeCell ref="B5:C5"/>
    <mergeCell ref="A65:C6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27"/>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0" customWidth="1" min="1" max="1"/>
    <col width="22" customWidth="1" min="2" max="2"/>
    <col width="24" customWidth="1" min="3" max="3"/>
    <col width="13" customWidth="1" min="4" max="4"/>
    <col width="10" customWidth="1" min="5" max="5"/>
    <col width="12"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12" customWidth="1" min="15" max="15"/>
    <col width="10" customWidth="1" min="16" max="16"/>
    <col width="12" customWidth="1" min="17" max="17"/>
    <col width="20" customWidth="1" min="18" max="18"/>
    <col width="10" customWidth="1" min="19" max="19"/>
    <col width="10" customWidth="1" min="20" max="20"/>
    <col width="10" customWidth="1" min="21" max="21"/>
    <col width="13" customWidth="1" min="22" max="22"/>
    <col width="24" customWidth="1" min="23" max="23"/>
  </cols>
  <sheetData>
    <row r="1">
      <c r="A1" s="1" t="inlineStr">
        <is>
          <t>Alle Teile auf einen Blick</t>
        </is>
      </c>
    </row>
    <row r="2">
      <c r="A2" s="2" t="inlineStr">
        <is>
          <t>Der volle Wertesatz in einer Tabelle -- zum Filtern und Sortieren. Zum Lesen und Vergleichen sind die Typblaetter gedacht: dort steht nur, was der jeweilige Typ auch fuehrt.</t>
        </is>
      </c>
    </row>
    <row r="4" ht="30" customHeight="1">
      <c r="A4" s="3" t="inlineStr">
        <is>
          <t>Code</t>
        </is>
      </c>
      <c r="B4" s="3" t="inlineStr">
        <is>
          <t>Name</t>
        </is>
      </c>
      <c r="C4" s="3" t="inlineStr">
        <is>
          <t>Set</t>
        </is>
      </c>
      <c r="D4" s="3" t="inlineStr">
        <is>
          <t>Typ</t>
        </is>
      </c>
      <c r="E4" s="3" t="inlineStr">
        <is>
          <t>Bauart</t>
        </is>
      </c>
      <c r="F4" s="3" t="inlineStr">
        <is>
          <t>Montageklasse</t>
        </is>
      </c>
      <c r="G4" s="3" t="inlineStr">
        <is>
          <t>HP</t>
        </is>
      </c>
      <c r="H4" s="3" t="inlineStr">
        <is>
          <t>EN max</t>
        </is>
      </c>
      <c r="I4" s="3" t="inlineStr">
        <is>
          <t>EN/Zyklus</t>
        </is>
      </c>
      <c r="J4" s="3" t="inlineStr">
        <is>
          <t>SPD</t>
        </is>
      </c>
      <c r="K4" s="3" t="inlineStr">
        <is>
          <t>MOV</t>
        </is>
      </c>
      <c r="L4" s="3" t="inlineStr">
        <is>
          <t>ATK</t>
        </is>
      </c>
      <c r="M4" s="3" t="inlineStr">
        <is>
          <t>DEF</t>
        </is>
      </c>
      <c r="N4" s="3" t="inlineStr">
        <is>
          <t>Gewicht</t>
        </is>
      </c>
      <c r="O4" s="3" t="inlineStr">
        <is>
          <t>Energiebedarf</t>
        </is>
      </c>
      <c r="P4" s="3" t="inlineStr">
        <is>
          <t>Traglast</t>
        </is>
      </c>
      <c r="Q4" s="3" t="inlineStr">
        <is>
          <t>Energieabgabe</t>
        </is>
      </c>
      <c r="R4" s="3" t="inlineStr">
        <is>
          <t>Aktion</t>
        </is>
      </c>
      <c r="S4" s="3" t="inlineStr">
        <is>
          <t>Power</t>
        </is>
      </c>
      <c r="T4" s="3" t="inlineStr">
        <is>
          <t>Reichweite</t>
        </is>
      </c>
      <c r="U4" s="3" t="inlineStr">
        <is>
          <t>EN-Kosten</t>
        </is>
      </c>
      <c r="V4" s="3" t="inlineStr">
        <is>
          <t>Threat-Beitrag</t>
        </is>
      </c>
      <c r="W4" s="3" t="inlineStr">
        <is>
          <t>Tags</t>
        </is>
      </c>
    </row>
    <row r="5">
      <c r="A5" s="12" t="inlineStr">
        <is>
          <t>CHS-001</t>
        </is>
      </c>
      <c r="B5" s="7" t="inlineStr">
        <is>
          <t>Vireo Chassis</t>
        </is>
      </c>
      <c r="C5" s="7" t="inlineStr">
        <is>
          <t>RX-Vireo // Scout</t>
        </is>
      </c>
      <c r="D5" s="7" t="inlineStr">
        <is>
          <t>Koerper</t>
        </is>
      </c>
      <c r="E5" s="7" t="inlineStr"/>
      <c r="F5" s="7" t="inlineStr"/>
      <c r="G5" s="17" t="n">
        <v>60</v>
      </c>
      <c r="H5" s="17" t="n"/>
      <c r="I5" s="17" t="n"/>
      <c r="J5" s="17" t="n">
        <v>2</v>
      </c>
      <c r="K5" s="17" t="n"/>
      <c r="L5" s="17" t="n"/>
      <c r="M5" s="17" t="n">
        <v>1</v>
      </c>
      <c r="N5" s="17" t="n"/>
      <c r="O5" s="17" t="n"/>
      <c r="P5" s="17" t="n">
        <v>18</v>
      </c>
      <c r="Q5" s="17" t="n"/>
      <c r="R5" s="7" t="inlineStr"/>
      <c r="S5" s="17" t="n"/>
      <c r="T5" s="17" t="n"/>
      <c r="U5" s="17" t="n"/>
      <c r="V5" s="18">
        <f>G5*1+L5*6+M5*8+J5*3+K5*4+H5*0.5</f>
        <v/>
      </c>
      <c r="W5" s="7" t="inlineStr">
        <is>
          <t>light, scout</t>
        </is>
      </c>
    </row>
    <row r="6">
      <c r="A6" s="12" t="inlineStr">
        <is>
          <t>CHS-002</t>
        </is>
      </c>
      <c r="B6" s="7" t="inlineStr">
        <is>
          <t>Molok Chassis</t>
        </is>
      </c>
      <c r="C6" s="7" t="inlineStr">
        <is>
          <t>HX-Molok // Juggernaut</t>
        </is>
      </c>
      <c r="D6" s="7" t="inlineStr">
        <is>
          <t>Koerper</t>
        </is>
      </c>
      <c r="E6" s="7" t="inlineStr"/>
      <c r="F6" s="7" t="inlineStr"/>
      <c r="G6" s="17" t="n">
        <v>130</v>
      </c>
      <c r="H6" s="17" t="n"/>
      <c r="I6" s="17" t="n"/>
      <c r="J6" s="17" t="n">
        <v>-2</v>
      </c>
      <c r="K6" s="17" t="n">
        <v>-1</v>
      </c>
      <c r="L6" s="17" t="n"/>
      <c r="M6" s="17" t="n">
        <v>5</v>
      </c>
      <c r="N6" s="17" t="n"/>
      <c r="O6" s="17" t="n"/>
      <c r="P6" s="17" t="n">
        <v>28</v>
      </c>
      <c r="Q6" s="17" t="n"/>
      <c r="R6" s="7" t="inlineStr"/>
      <c r="S6" s="17" t="n"/>
      <c r="T6" s="17" t="n"/>
      <c r="U6" s="17" t="n"/>
      <c r="V6" s="18">
        <f>G6*1+L6*6+M6*8+J6*3+K6*4+H6*0.5</f>
        <v/>
      </c>
      <c r="W6" s="7" t="inlineStr">
        <is>
          <t>heavy</t>
        </is>
      </c>
    </row>
    <row r="7">
      <c r="A7" s="12" t="inlineStr">
        <is>
          <t>CHS-003</t>
        </is>
      </c>
      <c r="B7" s="7" t="inlineStr">
        <is>
          <t>Nimbus Chassis</t>
        </is>
      </c>
      <c r="C7" s="7" t="inlineStr">
        <is>
          <t>AR-Nimbus // Technomant</t>
        </is>
      </c>
      <c r="D7" s="7" t="inlineStr">
        <is>
          <t>Koerper</t>
        </is>
      </c>
      <c r="E7" s="7" t="inlineStr"/>
      <c r="F7" s="7" t="inlineStr"/>
      <c r="G7" s="17" t="n">
        <v>85</v>
      </c>
      <c r="H7" s="17" t="n">
        <v>10</v>
      </c>
      <c r="I7" s="17" t="n"/>
      <c r="J7" s="17" t="n"/>
      <c r="K7" s="17" t="n"/>
      <c r="L7" s="17" t="n"/>
      <c r="M7" s="17" t="n">
        <v>2</v>
      </c>
      <c r="N7" s="17" t="n"/>
      <c r="O7" s="17" t="n"/>
      <c r="P7" s="17" t="n">
        <v>20</v>
      </c>
      <c r="Q7" s="17" t="n"/>
      <c r="R7" s="7" t="inlineStr"/>
      <c r="S7" s="17" t="n"/>
      <c r="T7" s="17" t="n"/>
      <c r="U7" s="17" t="n"/>
      <c r="V7" s="18">
        <f>G7*1+L7*6+M7*8+J7*3+K7*4+H7*0.5</f>
        <v/>
      </c>
      <c r="W7" s="7" t="inlineStr">
        <is>
          <t>round, mage, support</t>
        </is>
      </c>
    </row>
    <row r="8">
      <c r="A8" s="12" t="inlineStr">
        <is>
          <t>CHS-004</t>
        </is>
      </c>
      <c r="B8" s="7" t="inlineStr">
        <is>
          <t>Strix Chassis</t>
        </is>
      </c>
      <c r="C8" s="7" t="inlineStr">
        <is>
          <t>LR-Strix // Marksman</t>
        </is>
      </c>
      <c r="D8" s="7" t="inlineStr">
        <is>
          <t>Koerper</t>
        </is>
      </c>
      <c r="E8" s="7" t="inlineStr"/>
      <c r="F8" s="7" t="inlineStr"/>
      <c r="G8" s="17" t="n">
        <v>70</v>
      </c>
      <c r="H8" s="17" t="n"/>
      <c r="I8" s="17" t="n"/>
      <c r="J8" s="17" t="n">
        <v>1</v>
      </c>
      <c r="K8" s="17" t="n"/>
      <c r="L8" s="17" t="n"/>
      <c r="M8" s="17" t="n">
        <v>2</v>
      </c>
      <c r="N8" s="17" t="n"/>
      <c r="O8" s="17" t="n"/>
      <c r="P8" s="17" t="n">
        <v>22</v>
      </c>
      <c r="Q8" s="17" t="n"/>
      <c r="R8" s="7" t="inlineStr"/>
      <c r="S8" s="17" t="n"/>
      <c r="T8" s="17" t="n"/>
      <c r="U8" s="17" t="n"/>
      <c r="V8" s="18">
        <f>G8*1+L8*6+M8*8+J8*3+K8*4+H8*0.5</f>
        <v/>
      </c>
      <c r="W8" s="7" t="inlineStr">
        <is>
          <t>marksman, light, sniper</t>
        </is>
      </c>
    </row>
    <row r="9">
      <c r="A9" s="12" t="inlineStr">
        <is>
          <t>HED-001</t>
        </is>
      </c>
      <c r="B9" s="7" t="inlineStr">
        <is>
          <t>Vireo Sensorkopf</t>
        </is>
      </c>
      <c r="C9" s="7" t="inlineStr">
        <is>
          <t>RX-Vireo // Scout</t>
        </is>
      </c>
      <c r="D9" s="7" t="inlineStr">
        <is>
          <t>Kopf</t>
        </is>
      </c>
      <c r="E9" s="7" t="inlineStr"/>
      <c r="F9" s="7" t="inlineStr"/>
      <c r="G9" s="17" t="n"/>
      <c r="H9" s="17" t="n"/>
      <c r="I9" s="17" t="n"/>
      <c r="J9" s="17" t="n">
        <v>2</v>
      </c>
      <c r="K9" s="17" t="n"/>
      <c r="L9" s="17" t="n"/>
      <c r="M9" s="17" t="n"/>
      <c r="N9" s="17" t="n">
        <v>2</v>
      </c>
      <c r="O9" s="17" t="n">
        <v>2</v>
      </c>
      <c r="P9" s="17" t="n"/>
      <c r="Q9" s="17" t="n"/>
      <c r="R9" s="7" t="inlineStr"/>
      <c r="S9" s="17" t="n"/>
      <c r="T9" s="17" t="n"/>
      <c r="U9" s="17" t="n"/>
      <c r="V9" s="18">
        <f>G9*1+L9*6+M9*8+J9*3+K9*4+H9*0.5</f>
        <v/>
      </c>
      <c r="W9" s="7" t="inlineStr">
        <is>
          <t>light, sensor</t>
        </is>
      </c>
    </row>
    <row r="10">
      <c r="A10" s="12" t="inlineStr">
        <is>
          <t>HED-002</t>
        </is>
      </c>
      <c r="B10" s="7" t="inlineStr">
        <is>
          <t>Molok Bunkerkopf</t>
        </is>
      </c>
      <c r="C10" s="7" t="inlineStr">
        <is>
          <t>HX-Molok // Juggernaut</t>
        </is>
      </c>
      <c r="D10" s="7" t="inlineStr">
        <is>
          <t>Kopf</t>
        </is>
      </c>
      <c r="E10" s="7" t="inlineStr"/>
      <c r="F10" s="7" t="inlineStr"/>
      <c r="G10" s="17" t="n">
        <v>15</v>
      </c>
      <c r="H10" s="17" t="n"/>
      <c r="I10" s="17" t="n"/>
      <c r="J10" s="17" t="n"/>
      <c r="K10" s="17" t="n"/>
      <c r="L10" s="17" t="n"/>
      <c r="M10" s="17" t="n">
        <v>2</v>
      </c>
      <c r="N10" s="17" t="n">
        <v>4</v>
      </c>
      <c r="O10" s="17" t="n">
        <v>1</v>
      </c>
      <c r="P10" s="17" t="n"/>
      <c r="Q10" s="17" t="n"/>
      <c r="R10" s="7" t="inlineStr"/>
      <c r="S10" s="17" t="n"/>
      <c r="T10" s="17" t="n"/>
      <c r="U10" s="17" t="n"/>
      <c r="V10" s="18">
        <f>G10*1+L10*6+M10*8+J10*3+K10*4+H10*0.5</f>
        <v/>
      </c>
      <c r="W10" s="7" t="inlineStr">
        <is>
          <t>heavy, armored</t>
        </is>
      </c>
    </row>
    <row r="11">
      <c r="A11" s="12" t="inlineStr">
        <is>
          <t>HED-003</t>
        </is>
      </c>
      <c r="B11" s="7" t="inlineStr">
        <is>
          <t>Nimbus Flachhelm</t>
        </is>
      </c>
      <c r="C11" s="7" t="inlineStr">
        <is>
          <t>AR-Nimbus // Technomant</t>
        </is>
      </c>
      <c r="D11" s="7" t="inlineStr">
        <is>
          <t>Kopf</t>
        </is>
      </c>
      <c r="E11" s="7" t="inlineStr"/>
      <c r="F11" s="7" t="inlineStr"/>
      <c r="G11" s="17" t="n"/>
      <c r="H11" s="17" t="n">
        <v>15</v>
      </c>
      <c r="I11" s="17" t="n">
        <v>3</v>
      </c>
      <c r="J11" s="17" t="n"/>
      <c r="K11" s="17" t="n"/>
      <c r="L11" s="17" t="n"/>
      <c r="M11" s="17" t="n"/>
      <c r="N11" s="17" t="n">
        <v>2</v>
      </c>
      <c r="O11" s="17" t="n">
        <v>2</v>
      </c>
      <c r="P11" s="17" t="n"/>
      <c r="Q11" s="17" t="n"/>
      <c r="R11" s="7" t="inlineStr"/>
      <c r="S11" s="17" t="n"/>
      <c r="T11" s="17" t="n"/>
      <c r="U11" s="17" t="n"/>
      <c r="V11" s="18">
        <f>G11*1+L11*6+M11*8+J11*3+K11*4+H11*0.5</f>
        <v/>
      </c>
      <c r="W11" s="7" t="inlineStr">
        <is>
          <t>round, mage, sensor</t>
        </is>
      </c>
    </row>
    <row r="12">
      <c r="A12" s="12" t="inlineStr">
        <is>
          <t>HED-004</t>
        </is>
      </c>
      <c r="B12" s="7" t="inlineStr">
        <is>
          <t>Strix Okularkopf</t>
        </is>
      </c>
      <c r="C12" s="7" t="inlineStr">
        <is>
          <t>LR-Strix // Marksman</t>
        </is>
      </c>
      <c r="D12" s="7" t="inlineStr">
        <is>
          <t>Kopf</t>
        </is>
      </c>
      <c r="E12" s="7" t="inlineStr"/>
      <c r="F12" s="7" t="inlineStr"/>
      <c r="G12" s="17" t="n"/>
      <c r="H12" s="17" t="n"/>
      <c r="I12" s="17" t="n"/>
      <c r="J12" s="17" t="n"/>
      <c r="K12" s="17" t="n"/>
      <c r="L12" s="17" t="n">
        <v>4</v>
      </c>
      <c r="M12" s="17" t="n"/>
      <c r="N12" s="17" t="n">
        <v>3</v>
      </c>
      <c r="O12" s="17" t="n">
        <v>3</v>
      </c>
      <c r="P12" s="17" t="n"/>
      <c r="Q12" s="17" t="n"/>
      <c r="R12" s="7" t="inlineStr"/>
      <c r="S12" s="17" t="n"/>
      <c r="T12" s="17" t="n"/>
      <c r="U12" s="17" t="n"/>
      <c r="V12" s="18">
        <f>G12*1+L12*6+M12*8+J12*3+K12*4+H12*0.5</f>
        <v/>
      </c>
      <c r="W12" s="7" t="inlineStr">
        <is>
          <t>marksman, sensor, optics</t>
        </is>
      </c>
    </row>
    <row r="13">
      <c r="A13" s="12" t="inlineStr">
        <is>
          <t>LEG-001</t>
        </is>
      </c>
      <c r="B13" s="7" t="inlineStr">
        <is>
          <t>Vireo Sprintbeine</t>
        </is>
      </c>
      <c r="C13" s="7" t="inlineStr">
        <is>
          <t>RX-Vireo // Scout</t>
        </is>
      </c>
      <c r="D13" s="7" t="inlineStr">
        <is>
          <t>Fuesse</t>
        </is>
      </c>
      <c r="E13" s="7" t="inlineStr"/>
      <c r="F13" s="7" t="inlineStr"/>
      <c r="G13" s="17" t="n"/>
      <c r="H13" s="17" t="n"/>
      <c r="I13" s="17" t="n"/>
      <c r="J13" s="17" t="n">
        <v>11</v>
      </c>
      <c r="K13" s="17" t="n">
        <v>4</v>
      </c>
      <c r="L13" s="17" t="n"/>
      <c r="M13" s="17" t="n"/>
      <c r="N13" s="17" t="n">
        <v>3</v>
      </c>
      <c r="O13" s="17" t="n">
        <v>4</v>
      </c>
      <c r="P13" s="17" t="n"/>
      <c r="Q13" s="17" t="n"/>
      <c r="R13" s="7" t="inlineStr"/>
      <c r="S13" s="17" t="n"/>
      <c r="T13" s="17" t="n"/>
      <c r="U13" s="17" t="n"/>
      <c r="V13" s="18">
        <f>G13*1+L13*6+M13*8+J13*3+K13*4+H13*0.5</f>
        <v/>
      </c>
      <c r="W13" s="7" t="inlineStr">
        <is>
          <t>light, fast</t>
        </is>
      </c>
    </row>
    <row r="14">
      <c r="A14" s="12" t="inlineStr">
        <is>
          <t>LEG-002</t>
        </is>
      </c>
      <c r="B14" s="7" t="inlineStr">
        <is>
          <t>Molok Standbeine</t>
        </is>
      </c>
      <c r="C14" s="7" t="inlineStr">
        <is>
          <t>HX-Molok // Juggernaut</t>
        </is>
      </c>
      <c r="D14" s="7" t="inlineStr">
        <is>
          <t>Fuesse</t>
        </is>
      </c>
      <c r="E14" s="7" t="inlineStr"/>
      <c r="F14" s="7" t="inlineStr"/>
      <c r="G14" s="17" t="n"/>
      <c r="H14" s="17" t="n"/>
      <c r="I14" s="17" t="n"/>
      <c r="J14" s="17" t="n">
        <v>8</v>
      </c>
      <c r="K14" s="17" t="n">
        <v>3</v>
      </c>
      <c r="L14" s="17" t="n"/>
      <c r="M14" s="17" t="n">
        <v>2</v>
      </c>
      <c r="N14" s="17" t="n">
        <v>6</v>
      </c>
      <c r="O14" s="17" t="n">
        <v>2</v>
      </c>
      <c r="P14" s="17" t="n"/>
      <c r="Q14" s="17" t="n"/>
      <c r="R14" s="7" t="inlineStr"/>
      <c r="S14" s="17" t="n"/>
      <c r="T14" s="17" t="n"/>
      <c r="U14" s="17" t="n"/>
      <c r="V14" s="18">
        <f>G14*1+L14*6+M14*8+J14*3+K14*4+H14*0.5</f>
        <v/>
      </c>
      <c r="W14" s="7" t="inlineStr">
        <is>
          <t>heavy, slow</t>
        </is>
      </c>
    </row>
    <row r="15">
      <c r="A15" s="12" t="inlineStr">
        <is>
          <t>LEG-003</t>
        </is>
      </c>
      <c r="B15" s="7" t="inlineStr">
        <is>
          <t>Nimbus Fahrwerk</t>
        </is>
      </c>
      <c r="C15" s="7" t="inlineStr">
        <is>
          <t>AR-Nimbus // Technomant</t>
        </is>
      </c>
      <c r="D15" s="7" t="inlineStr">
        <is>
          <t>Fuesse</t>
        </is>
      </c>
      <c r="E15" s="7" t="inlineStr"/>
      <c r="F15" s="7" t="inlineStr"/>
      <c r="G15" s="17" t="n"/>
      <c r="H15" s="17" t="n"/>
      <c r="I15" s="17" t="n"/>
      <c r="J15" s="17" t="n">
        <v>14</v>
      </c>
      <c r="K15" s="17" t="n">
        <v>5</v>
      </c>
      <c r="L15" s="17" t="n"/>
      <c r="M15" s="17" t="n"/>
      <c r="N15" s="17" t="n">
        <v>4</v>
      </c>
      <c r="O15" s="17" t="n">
        <v>4</v>
      </c>
      <c r="P15" s="17" t="n"/>
      <c r="Q15" s="17" t="n"/>
      <c r="R15" s="7" t="inlineStr"/>
      <c r="S15" s="17" t="n"/>
      <c r="T15" s="17" t="n"/>
      <c r="U15" s="17" t="n"/>
      <c r="V15" s="18">
        <f>G15*1+L15*6+M15*8+J15*3+K15*4+H15*0.5</f>
        <v/>
      </c>
      <c r="W15" s="7" t="inlineStr">
        <is>
          <t>wheels, round, fast</t>
        </is>
      </c>
    </row>
    <row r="16">
      <c r="A16" s="12" t="inlineStr">
        <is>
          <t>LEG-004</t>
        </is>
      </c>
      <c r="B16" s="7" t="inlineStr">
        <is>
          <t>Strix Federbeine</t>
        </is>
      </c>
      <c r="C16" s="7" t="inlineStr">
        <is>
          <t>LR-Strix // Marksman</t>
        </is>
      </c>
      <c r="D16" s="7" t="inlineStr">
        <is>
          <t>Fuesse</t>
        </is>
      </c>
      <c r="E16" s="7" t="inlineStr"/>
      <c r="F16" s="7" t="inlineStr"/>
      <c r="G16" s="17" t="n"/>
      <c r="H16" s="17" t="n"/>
      <c r="I16" s="17" t="n"/>
      <c r="J16" s="17" t="n">
        <v>9</v>
      </c>
      <c r="K16" s="17" t="n">
        <v>4</v>
      </c>
      <c r="L16" s="17" t="n"/>
      <c r="M16" s="17" t="n"/>
      <c r="N16" s="17" t="n">
        <v>5</v>
      </c>
      <c r="O16" s="17" t="n">
        <v>4</v>
      </c>
      <c r="P16" s="17" t="n"/>
      <c r="Q16" s="17" t="n"/>
      <c r="R16" s="7" t="inlineStr"/>
      <c r="S16" s="17" t="n"/>
      <c r="T16" s="17" t="n"/>
      <c r="U16" s="17" t="n"/>
      <c r="V16" s="18">
        <f>G16*1+L16*6+M16*8+J16*3+K16*4+H16*0.5</f>
        <v/>
      </c>
      <c r="W16" s="7" t="inlineStr">
        <is>
          <t>marksman, digitigrad</t>
        </is>
      </c>
    </row>
    <row r="17">
      <c r="A17" s="12" t="inlineStr">
        <is>
          <t>COR-001</t>
        </is>
      </c>
      <c r="B17" s="7" t="inlineStr">
        <is>
          <t>Vireo Impulskern</t>
        </is>
      </c>
      <c r="C17" s="7" t="inlineStr">
        <is>
          <t>RX-Vireo // Scout</t>
        </is>
      </c>
      <c r="D17" s="7" t="inlineStr">
        <is>
          <t>Kern</t>
        </is>
      </c>
      <c r="E17" s="7" t="inlineStr"/>
      <c r="F17" s="7" t="inlineStr"/>
      <c r="G17" s="17" t="n"/>
      <c r="H17" s="17" t="n">
        <v>40</v>
      </c>
      <c r="I17" s="17" t="n">
        <v>8</v>
      </c>
      <c r="J17" s="17" t="n"/>
      <c r="K17" s="17" t="n"/>
      <c r="L17" s="17" t="n"/>
      <c r="M17" s="17" t="n"/>
      <c r="N17" s="17" t="n">
        <v>3</v>
      </c>
      <c r="O17" s="17" t="n"/>
      <c r="P17" s="17" t="n"/>
      <c r="Q17" s="17" t="n">
        <v>12</v>
      </c>
      <c r="R17" s="7" t="inlineStr"/>
      <c r="S17" s="17" t="n"/>
      <c r="T17" s="17" t="n"/>
      <c r="U17" s="17" t="n"/>
      <c r="V17" s="18">
        <f>G17*1+L17*6+M17*8+J17*3+K17*4+H17*0.5</f>
        <v/>
      </c>
      <c r="W17" s="7" t="inlineStr">
        <is>
          <t>core, energy</t>
        </is>
      </c>
    </row>
    <row r="18">
      <c r="A18" s="12" t="inlineStr">
        <is>
          <t>COR-002</t>
        </is>
      </c>
      <c r="B18" s="7" t="inlineStr">
        <is>
          <t>Molok Fusionskern</t>
        </is>
      </c>
      <c r="C18" s="7" t="inlineStr">
        <is>
          <t>HX-Molok // Juggernaut</t>
        </is>
      </c>
      <c r="D18" s="7" t="inlineStr">
        <is>
          <t>Kern</t>
        </is>
      </c>
      <c r="E18" s="7" t="inlineStr"/>
      <c r="F18" s="7" t="inlineStr"/>
      <c r="G18" s="17" t="n"/>
      <c r="H18" s="17" t="n">
        <v>70</v>
      </c>
      <c r="I18" s="17" t="n">
        <v>12</v>
      </c>
      <c r="J18" s="17" t="n"/>
      <c r="K18" s="17" t="n"/>
      <c r="L18" s="17" t="n"/>
      <c r="M18" s="17" t="n"/>
      <c r="N18" s="17" t="n">
        <v>6</v>
      </c>
      <c r="O18" s="17" t="n"/>
      <c r="P18" s="17" t="n"/>
      <c r="Q18" s="17" t="n">
        <v>16</v>
      </c>
      <c r="R18" s="7" t="inlineStr"/>
      <c r="S18" s="17" t="n"/>
      <c r="T18" s="17" t="n"/>
      <c r="U18" s="17" t="n"/>
      <c r="V18" s="18">
        <f>G18*1+L18*6+M18*8+J18*3+K18*4+H18*0.5</f>
        <v/>
      </c>
      <c r="W18" s="7" t="inlineStr">
        <is>
          <t>core, fusion</t>
        </is>
      </c>
    </row>
    <row r="19">
      <c r="A19" s="12" t="inlineStr">
        <is>
          <t>COR-003</t>
        </is>
      </c>
      <c r="B19" s="7" t="inlineStr">
        <is>
          <t>Nimbus Arkankern</t>
        </is>
      </c>
      <c r="C19" s="7" t="inlineStr">
        <is>
          <t>AR-Nimbus // Technomant</t>
        </is>
      </c>
      <c r="D19" s="7" t="inlineStr">
        <is>
          <t>Kern</t>
        </is>
      </c>
      <c r="E19" s="7" t="inlineStr"/>
      <c r="F19" s="7" t="inlineStr"/>
      <c r="G19" s="17" t="n"/>
      <c r="H19" s="17" t="n">
        <v>85</v>
      </c>
      <c r="I19" s="17" t="n">
        <v>14</v>
      </c>
      <c r="J19" s="17" t="n"/>
      <c r="K19" s="17" t="n"/>
      <c r="L19" s="17" t="n"/>
      <c r="M19" s="17" t="n"/>
      <c r="N19" s="17" t="n">
        <v>5</v>
      </c>
      <c r="O19" s="17" t="n"/>
      <c r="P19" s="17" t="n"/>
      <c r="Q19" s="17" t="n">
        <v>14</v>
      </c>
      <c r="R19" s="7" t="inlineStr"/>
      <c r="S19" s="17" t="n"/>
      <c r="T19" s="17" t="n"/>
      <c r="U19" s="17" t="n"/>
      <c r="V19" s="18">
        <f>G19*1+L19*6+M19*8+J19*3+K19*4+H19*0.5</f>
        <v/>
      </c>
      <c r="W19" s="7" t="inlineStr">
        <is>
          <t>core, arcane</t>
        </is>
      </c>
    </row>
    <row r="20">
      <c r="A20" s="12" t="inlineStr">
        <is>
          <t>COR-004</t>
        </is>
      </c>
      <c r="B20" s="7" t="inlineStr">
        <is>
          <t>Strix Zielrechner</t>
        </is>
      </c>
      <c r="C20" s="7" t="inlineStr">
        <is>
          <t>LR-Strix // Marksman</t>
        </is>
      </c>
      <c r="D20" s="7" t="inlineStr">
        <is>
          <t>Kern</t>
        </is>
      </c>
      <c r="E20" s="7" t="inlineStr"/>
      <c r="F20" s="7" t="inlineStr"/>
      <c r="G20" s="17" t="n"/>
      <c r="H20" s="17" t="n">
        <v>50</v>
      </c>
      <c r="I20" s="17" t="n">
        <v>10</v>
      </c>
      <c r="J20" s="17" t="n"/>
      <c r="K20" s="17" t="n"/>
      <c r="L20" s="17" t="n">
        <v>2</v>
      </c>
      <c r="M20" s="17" t="n"/>
      <c r="N20" s="17" t="n">
        <v>4</v>
      </c>
      <c r="O20" s="17" t="n"/>
      <c r="P20" s="17" t="n"/>
      <c r="Q20" s="17" t="n">
        <v>13</v>
      </c>
      <c r="R20" s="7" t="inlineStr"/>
      <c r="S20" s="17" t="n"/>
      <c r="T20" s="17" t="n"/>
      <c r="U20" s="17" t="n"/>
      <c r="V20" s="18">
        <f>G20*1+L20*6+M20*8+J20*3+K20*4+H20*0.5</f>
        <v/>
      </c>
      <c r="W20" s="7" t="inlineStr">
        <is>
          <t>core, optics</t>
        </is>
      </c>
    </row>
    <row r="21">
      <c r="A21" s="12" t="inlineStr">
        <is>
          <t>EQP-001</t>
        </is>
      </c>
      <c r="B21" s="7" t="inlineStr">
        <is>
          <t>Puls-Blaster</t>
        </is>
      </c>
      <c r="C21" s="7" t="inlineStr">
        <is>
          <t>RX-Vireo // Scout</t>
        </is>
      </c>
      <c r="D21" s="7" t="inlineStr">
        <is>
          <t>Ausruestung</t>
        </is>
      </c>
      <c r="E21" s="7" t="inlineStr">
        <is>
          <t>Waffe</t>
        </is>
      </c>
      <c r="F21" s="7" t="inlineStr">
        <is>
          <t>leicht</t>
        </is>
      </c>
      <c r="G21" s="17" t="n"/>
      <c r="H21" s="17" t="n"/>
      <c r="I21" s="17" t="n"/>
      <c r="J21" s="17" t="n"/>
      <c r="K21" s="17" t="n"/>
      <c r="L21" s="17" t="n"/>
      <c r="M21" s="17" t="n"/>
      <c r="N21" s="17" t="n">
        <v>5</v>
      </c>
      <c r="O21" s="17" t="n">
        <v>3</v>
      </c>
      <c r="P21" s="17" t="n"/>
      <c r="Q21" s="17" t="n"/>
      <c r="R21" s="7" t="inlineStr">
        <is>
          <t>Puls-Salve</t>
        </is>
      </c>
      <c r="S21" s="17" t="n">
        <v>12</v>
      </c>
      <c r="T21" s="17" t="n">
        <v>4</v>
      </c>
      <c r="U21" s="17" t="n"/>
      <c r="V21" s="18">
        <f>G21*1+L21*6+M21*8+J21*3+K21*4+H21*0.5</f>
        <v/>
      </c>
      <c r="W21" s="7" t="inlineStr">
        <is>
          <t>weapon, ranged</t>
        </is>
      </c>
    </row>
    <row r="22">
      <c r="A22" s="12" t="inlineStr">
        <is>
          <t>EQP-002</t>
        </is>
      </c>
      <c r="B22" s="7" t="inlineStr">
        <is>
          <t>Deflektor-Schild</t>
        </is>
      </c>
      <c r="C22" s="7" t="inlineStr">
        <is>
          <t>RX-Vireo // Scout</t>
        </is>
      </c>
      <c r="D22" s="7" t="inlineStr">
        <is>
          <t>Ausruestung</t>
        </is>
      </c>
      <c r="E22" s="7" t="inlineStr">
        <is>
          <t>Schild</t>
        </is>
      </c>
      <c r="F22" s="7" t="inlineStr">
        <is>
          <t>mittel</t>
        </is>
      </c>
      <c r="G22" s="17" t="n"/>
      <c r="H22" s="17" t="n"/>
      <c r="I22" s="17" t="n"/>
      <c r="J22" s="17" t="n"/>
      <c r="K22" s="17" t="n"/>
      <c r="L22" s="17" t="n"/>
      <c r="M22" s="17" t="n">
        <v>5</v>
      </c>
      <c r="N22" s="17" t="n">
        <v>4</v>
      </c>
      <c r="O22" s="17" t="n">
        <v>2</v>
      </c>
      <c r="P22" s="17" t="n"/>
      <c r="Q22" s="17" t="n"/>
      <c r="R22" s="7" t="inlineStr"/>
      <c r="S22" s="17" t="n"/>
      <c r="T22" s="17" t="n"/>
      <c r="U22" s="17" t="n"/>
      <c r="V22" s="18">
        <f>G22*1+L22*6+M22*8+J22*3+K22*4+H22*0.5</f>
        <v/>
      </c>
      <c r="W22" s="7" t="inlineStr">
        <is>
          <t>defense</t>
        </is>
      </c>
    </row>
    <row r="23">
      <c r="A23" s="12" t="inlineStr">
        <is>
          <t>EQP-003</t>
        </is>
      </c>
      <c r="B23" s="7" t="inlineStr">
        <is>
          <t>Belagerungskanone</t>
        </is>
      </c>
      <c r="C23" s="7" t="inlineStr">
        <is>
          <t>HX-Molok // Juggernaut</t>
        </is>
      </c>
      <c r="D23" s="7" t="inlineStr">
        <is>
          <t>Ausruestung</t>
        </is>
      </c>
      <c r="E23" s="7" t="inlineStr">
        <is>
          <t>Waffe</t>
        </is>
      </c>
      <c r="F23" s="7" t="inlineStr">
        <is>
          <t>schwer</t>
        </is>
      </c>
      <c r="G23" s="17" t="n"/>
      <c r="H23" s="17" t="n"/>
      <c r="I23" s="17" t="n"/>
      <c r="J23" s="17" t="n"/>
      <c r="K23" s="17" t="n"/>
      <c r="L23" s="17" t="n"/>
      <c r="M23" s="17" t="n"/>
      <c r="N23" s="17" t="n">
        <v>8</v>
      </c>
      <c r="O23" s="17" t="n">
        <v>5</v>
      </c>
      <c r="P23" s="17" t="n"/>
      <c r="Q23" s="17" t="n"/>
      <c r="R23" s="7" t="inlineStr">
        <is>
          <t>Belagerungsschlag</t>
        </is>
      </c>
      <c r="S23" s="17" t="n">
        <v>18</v>
      </c>
      <c r="T23" s="17" t="n">
        <v>6</v>
      </c>
      <c r="U23" s="17" t="n">
        <v>5</v>
      </c>
      <c r="V23" s="18">
        <f>G23*1+L23*6+M23*8+J23*3+K23*4+H23*0.5</f>
        <v/>
      </c>
      <c r="W23" s="7" t="inlineStr">
        <is>
          <t>weapon, heavy</t>
        </is>
      </c>
    </row>
    <row r="24">
      <c r="A24" s="12" t="inlineStr">
        <is>
          <t>EQP-004</t>
        </is>
      </c>
      <c r="B24" s="7" t="inlineStr">
        <is>
          <t>Drohnen-Pod</t>
        </is>
      </c>
      <c r="C24" s="7" t="inlineStr">
        <is>
          <t>HX-Molok // Juggernaut</t>
        </is>
      </c>
      <c r="D24" s="7" t="inlineStr">
        <is>
          <t>Ausruestung</t>
        </is>
      </c>
      <c r="E24" s="7" t="inlineStr">
        <is>
          <t>Support</t>
        </is>
      </c>
      <c r="F24" s="7" t="inlineStr">
        <is>
          <t>leicht</t>
        </is>
      </c>
      <c r="G24" s="17" t="n"/>
      <c r="H24" s="17" t="n"/>
      <c r="I24" s="17" t="n"/>
      <c r="J24" s="17" t="n"/>
      <c r="K24" s="17" t="n"/>
      <c r="L24" s="17" t="n"/>
      <c r="M24" s="17" t="n"/>
      <c r="N24" s="17" t="n">
        <v>3</v>
      </c>
      <c r="O24" s="17" t="n">
        <v>4</v>
      </c>
      <c r="P24" s="17" t="n"/>
      <c r="Q24" s="17" t="n"/>
      <c r="R24" s="7" t="inlineStr">
        <is>
          <t>Reparaturdrohnen</t>
        </is>
      </c>
      <c r="S24" s="17" t="n">
        <v>-10</v>
      </c>
      <c r="T24" s="17" t="n">
        <v>3</v>
      </c>
      <c r="U24" s="17" t="n">
        <v>12</v>
      </c>
      <c r="V24" s="18">
        <f>G24*1+L24*6+M24*8+J24*3+K24*4+H24*0.5</f>
        <v/>
      </c>
      <c r="W24" s="7" t="inlineStr">
        <is>
          <t>support, shoulder</t>
        </is>
      </c>
    </row>
    <row r="25">
      <c r="A25" s="12" t="inlineStr">
        <is>
          <t>EQP-005</t>
        </is>
      </c>
      <c r="B25" s="7" t="inlineStr">
        <is>
          <t>Runenstab</t>
        </is>
      </c>
      <c r="C25" s="7" t="inlineStr">
        <is>
          <t>AR-Nimbus // Technomant</t>
        </is>
      </c>
      <c r="D25" s="7" t="inlineStr">
        <is>
          <t>Ausruestung</t>
        </is>
      </c>
      <c r="E25" s="7" t="inlineStr">
        <is>
          <t>Waffe</t>
        </is>
      </c>
      <c r="F25" s="7" t="inlineStr">
        <is>
          <t>leicht</t>
        </is>
      </c>
      <c r="G25" s="17" t="n"/>
      <c r="H25" s="17" t="n"/>
      <c r="I25" s="17" t="n"/>
      <c r="J25" s="17" t="n"/>
      <c r="K25" s="17" t="n"/>
      <c r="L25" s="17" t="n"/>
      <c r="M25" s="17" t="n"/>
      <c r="N25" s="17" t="n">
        <v>4</v>
      </c>
      <c r="O25" s="17" t="n">
        <v>2</v>
      </c>
      <c r="P25" s="17" t="n"/>
      <c r="Q25" s="17" t="n"/>
      <c r="R25" s="7" t="inlineStr">
        <is>
          <t>Runenschlag</t>
        </is>
      </c>
      <c r="S25" s="17" t="n">
        <v>18</v>
      </c>
      <c r="T25" s="17" t="n">
        <v>1</v>
      </c>
      <c r="U25" s="17" t="n"/>
      <c r="V25" s="18">
        <f>G25*1+L25*6+M25*8+J25*3+K25*4+H25*0.5</f>
        <v/>
      </c>
      <c r="W25" s="7" t="inlineStr">
        <is>
          <t>weapon, arcane, round</t>
        </is>
      </c>
    </row>
    <row r="26">
      <c r="A26" s="12" t="inlineStr">
        <is>
          <t>EQP-006</t>
        </is>
      </c>
      <c r="B26" s="7" t="inlineStr">
        <is>
          <t>Orbit-Fokus</t>
        </is>
      </c>
      <c r="C26" s="7" t="inlineStr">
        <is>
          <t>AR-Nimbus // Technomant</t>
        </is>
      </c>
      <c r="D26" s="7" t="inlineStr">
        <is>
          <t>Ausruestung</t>
        </is>
      </c>
      <c r="E26" s="7" t="inlineStr">
        <is>
          <t>Support</t>
        </is>
      </c>
      <c r="F26" s="7" t="inlineStr">
        <is>
          <t>leicht</t>
        </is>
      </c>
      <c r="G26" s="17" t="n"/>
      <c r="H26" s="17" t="n"/>
      <c r="I26" s="17" t="n"/>
      <c r="J26" s="17" t="n"/>
      <c r="K26" s="17" t="n"/>
      <c r="L26" s="17" t="n">
        <v>1</v>
      </c>
      <c r="M26" s="17" t="n"/>
      <c r="N26" s="17" t="n">
        <v>3</v>
      </c>
      <c r="O26" s="17" t="n">
        <v>3</v>
      </c>
      <c r="P26" s="17" t="n"/>
      <c r="Q26" s="17" t="n"/>
      <c r="R26" s="7" t="inlineStr">
        <is>
          <t>Orbit-Sog</t>
        </is>
      </c>
      <c r="S26" s="17" t="n"/>
      <c r="T26" s="17" t="n">
        <v>4</v>
      </c>
      <c r="U26" s="17" t="n">
        <v>8</v>
      </c>
      <c r="V26" s="18">
        <f>G26*1+L26*6+M26*8+J26*3+K26*4+H26*0.5</f>
        <v/>
      </c>
      <c r="W26" s="7" t="inlineStr">
        <is>
          <t>support, arcane, round</t>
        </is>
      </c>
    </row>
    <row r="27">
      <c r="A27" s="12" t="inlineStr">
        <is>
          <t>EQP-007</t>
        </is>
      </c>
      <c r="B27" s="7" t="inlineStr">
        <is>
          <t>Schienen-Lanze</t>
        </is>
      </c>
      <c r="C27" s="7" t="inlineStr">
        <is>
          <t>LR-Strix // Marksman</t>
        </is>
      </c>
      <c r="D27" s="7" t="inlineStr">
        <is>
          <t>Ausruestung</t>
        </is>
      </c>
      <c r="E27" s="7" t="inlineStr">
        <is>
          <t>Waffe</t>
        </is>
      </c>
      <c r="F27" s="7" t="inlineStr">
        <is>
          <t>schwer</t>
        </is>
      </c>
      <c r="G27" s="17" t="n"/>
      <c r="H27" s="17" t="n"/>
      <c r="I27" s="17" t="n"/>
      <c r="J27" s="17" t="n"/>
      <c r="K27" s="17" t="n"/>
      <c r="L27" s="17" t="n"/>
      <c r="M27" s="17" t="n"/>
      <c r="N27" s="17" t="n">
        <v>8</v>
      </c>
      <c r="O27" s="17" t="n">
        <v>5</v>
      </c>
      <c r="P27" s="17" t="n"/>
      <c r="Q27" s="17" t="n"/>
      <c r="R27" s="7" t="inlineStr">
        <is>
          <t>Schienenschuss</t>
        </is>
      </c>
      <c r="S27" s="17" t="n">
        <v>16</v>
      </c>
      <c r="T27" s="17" t="n">
        <v>7</v>
      </c>
      <c r="U27" s="17" t="n">
        <v>6</v>
      </c>
      <c r="V27" s="18">
        <f>G27*1+L27*6+M27*8+J27*3+K27*4+H27*0.5</f>
        <v/>
      </c>
      <c r="W27" s="7" t="inlineStr">
        <is>
          <t>weapon, heavy, sniper</t>
        </is>
      </c>
    </row>
  </sheetData>
  <autoFilter ref="A4:W27"/>
  <conditionalFormatting sqref="V5:V27">
    <cfRule type="dataBar" priority="1">
      <dataBar>
        <cfvo type="min"/>
        <cfvo type="max"/>
        <color rgb="00638EC6"/>
      </dataBar>
    </cfRule>
  </conditionalFormatting>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P12"/>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0" customWidth="1" min="1" max="1"/>
    <col width="22" customWidth="1" min="2" max="2"/>
    <col width="24" customWidth="1" min="3" max="3"/>
    <col width="16" customWidth="1" min="4" max="4"/>
    <col width="9" customWidth="1" min="5" max="5"/>
    <col width="9" customWidth="1" min="6" max="6"/>
    <col width="9" customWidth="1" min="7" max="7"/>
    <col width="9" customWidth="1" min="8" max="8"/>
    <col width="10" customWidth="1" min="9" max="9"/>
    <col width="9" customWidth="1" min="10" max="10"/>
    <col width="7" customWidth="1" min="11" max="11"/>
    <col width="34" customWidth="1" min="12" max="12"/>
    <col width="13" customWidth="1" min="13" max="13"/>
    <col width="40" customWidth="1" min="14" max="14"/>
    <col width="30" customWidth="1" min="15" max="15"/>
    <col width="24" customWidth="1" min="16" max="16"/>
  </cols>
  <sheetData>
    <row r="1">
      <c r="A1" s="1" t="inlineStr">
        <is>
          <t>Koerperteile -- Chassis</t>
        </is>
      </c>
    </row>
    <row r="2">
      <c r="A2" s="2" t="inlineStr">
        <is>
          <t>Das Chassis traegt alles andere: es bringt den Grossteil der HP, setzt die Traglast und bestimmt ueber seine equip_*-Anker, wie viele Ausruestungsslots der DROME ueberhaupt hat.</t>
        </is>
      </c>
    </row>
    <row r="4" ht="30" customHeight="1">
      <c r="A4" s="3" t="inlineStr">
        <is>
          <t>Code</t>
        </is>
      </c>
      <c r="B4" s="3" t="inlineStr">
        <is>
          <t>Name</t>
        </is>
      </c>
      <c r="C4" s="3" t="inlineStr">
        <is>
          <t>Set</t>
        </is>
      </c>
      <c r="D4" s="3" t="inlineStr">
        <is>
          <t>Datei-Slug</t>
        </is>
      </c>
      <c r="E4" s="3" t="inlineStr">
        <is>
          <t>HP</t>
        </is>
      </c>
      <c r="F4" s="3" t="inlineStr">
        <is>
          <t>DEF</t>
        </is>
      </c>
      <c r="G4" s="3" t="inlineStr">
        <is>
          <t>SPD</t>
        </is>
      </c>
      <c r="H4" s="3" t="inlineStr">
        <is>
          <t>MOV</t>
        </is>
      </c>
      <c r="I4" s="3" t="inlineStr">
        <is>
          <t>Traglast</t>
        </is>
      </c>
      <c r="J4" s="3" t="inlineStr">
        <is>
          <t>EN max</t>
        </is>
      </c>
      <c r="K4" s="3" t="inlineStr">
        <is>
          <t>Slots</t>
        </is>
      </c>
      <c r="L4" s="3" t="inlineStr">
        <is>
          <t>Slots und ihre Regel</t>
        </is>
      </c>
      <c r="M4" s="3" t="inlineStr">
        <is>
          <t>Threat-Beitrag</t>
        </is>
      </c>
      <c r="N4" s="3" t="inlineStr">
        <is>
          <t>Silhouetten-Merkmal</t>
        </is>
      </c>
      <c r="O4" s="3" t="inlineStr">
        <is>
          <t>sagt dem Spieler</t>
        </is>
      </c>
      <c r="P4" s="3" t="inlineStr">
        <is>
          <t>Tags</t>
        </is>
      </c>
    </row>
    <row r="5" ht="30" customHeight="1">
      <c r="A5" s="12" t="inlineStr">
        <is>
          <t>CHS-001</t>
        </is>
      </c>
      <c r="B5" s="7" t="inlineStr">
        <is>
          <t>Vireo Chassis</t>
        </is>
      </c>
      <c r="C5" s="7" t="inlineStr">
        <is>
          <t>RX-Vireo // Scout</t>
        </is>
      </c>
      <c r="D5" s="7" t="inlineStr">
        <is>
          <t>scout_body</t>
        </is>
      </c>
      <c r="E5" s="17" t="n">
        <v>60</v>
      </c>
      <c r="F5" s="17" t="n">
        <v>1</v>
      </c>
      <c r="G5" s="17" t="n">
        <v>2</v>
      </c>
      <c r="H5" s="17" t="n">
        <v>0</v>
      </c>
      <c r="I5" s="17" t="n">
        <v>18</v>
      </c>
      <c r="J5" s="17" t="n">
        <v>0</v>
      </c>
      <c r="K5" s="17" t="n">
        <v>2</v>
      </c>
      <c r="L5" s="9" t="inlineStr">
        <is>
          <t>left: bis mittel
right: bis mittel</t>
        </is>
      </c>
      <c r="M5" s="18">
        <f>E5*1+F5*8+G5*3+H5*4+J5*0.5</f>
        <v/>
      </c>
      <c r="N5" s="9" t="inlineStr">
        <is>
          <t>schlank, kantig, zweibeinig</t>
        </is>
      </c>
      <c r="O5" s="9" t="inlineStr">
        <is>
          <t>leichter Standardrahmen, zwei Arme</t>
        </is>
      </c>
      <c r="P5" s="7" t="inlineStr">
        <is>
          <t>light, scout</t>
        </is>
      </c>
    </row>
    <row r="6" ht="30" customHeight="1">
      <c r="A6" s="12" t="inlineStr">
        <is>
          <t>CHS-002</t>
        </is>
      </c>
      <c r="B6" s="7" t="inlineStr">
        <is>
          <t>Molok Chassis</t>
        </is>
      </c>
      <c r="C6" s="7" t="inlineStr">
        <is>
          <t>HX-Molok // Juggernaut</t>
        </is>
      </c>
      <c r="D6" s="7" t="inlineStr">
        <is>
          <t>jugg_body</t>
        </is>
      </c>
      <c r="E6" s="17" t="n">
        <v>130</v>
      </c>
      <c r="F6" s="17" t="n">
        <v>5</v>
      </c>
      <c r="G6" s="17" t="n">
        <v>-2</v>
      </c>
      <c r="H6" s="17" t="n">
        <v>-1</v>
      </c>
      <c r="I6" s="17" t="n">
        <v>28</v>
      </c>
      <c r="J6" s="17" t="n">
        <v>0</v>
      </c>
      <c r="K6" s="17" t="n">
        <v>3</v>
      </c>
      <c r="L6" s="9" t="inlineStr">
        <is>
          <t>left: bis schwer
right: bis schwer
shoulder: bis leicht · nur Support</t>
        </is>
      </c>
      <c r="M6" s="18">
        <f>E6*1+F6*8+G6*3+H6*4+J6*0.5</f>
        <v/>
      </c>
      <c r="N6" s="9" t="inlineStr">
        <is>
          <t>geduckt: Panzerschuerze, Keil-Torso, Pauldrons ueber dem Kopfsockel, Auspuffstapel</t>
        </is>
      </c>
      <c r="O6" s="9" t="inlineStr">
        <is>
          <t>schwerer Rahmen, drei Anker -- Schulter nur fuer Support</t>
        </is>
      </c>
      <c r="P6" s="7" t="inlineStr">
        <is>
          <t>heavy</t>
        </is>
      </c>
    </row>
    <row r="7" ht="30" customHeight="1">
      <c r="A7" s="12" t="inlineStr">
        <is>
          <t>CHS-003</t>
        </is>
      </c>
      <c r="B7" s="7" t="inlineStr">
        <is>
          <t>Nimbus Chassis</t>
        </is>
      </c>
      <c r="C7" s="7" t="inlineStr">
        <is>
          <t>AR-Nimbus // Technomant</t>
        </is>
      </c>
      <c r="D7" s="7" t="inlineStr">
        <is>
          <t>mage_body</t>
        </is>
      </c>
      <c r="E7" s="17" t="n">
        <v>85</v>
      </c>
      <c r="F7" s="17" t="n">
        <v>2</v>
      </c>
      <c r="G7" s="17" t="n">
        <v>0</v>
      </c>
      <c r="H7" s="17" t="n">
        <v>0</v>
      </c>
      <c r="I7" s="17" t="n">
        <v>20</v>
      </c>
      <c r="J7" s="17" t="n">
        <v>10</v>
      </c>
      <c r="K7" s="17" t="n">
        <v>2</v>
      </c>
      <c r="L7" s="9" t="inlineStr">
        <is>
          <t>left: bis mittel
right: bis mittel</t>
        </is>
      </c>
      <c r="M7" s="18">
        <f>E7*1+F7*8+G7*3+H7*4+J7*0.5</f>
        <v/>
      </c>
      <c r="N7" s="9" t="inlineStr">
        <is>
          <t>rund, Fahrgestell statt Beinen</t>
        </is>
      </c>
      <c r="O7" s="9" t="inlineStr">
        <is>
          <t>Support-Rahmen, weiche Formensprache</t>
        </is>
      </c>
      <c r="P7" s="7" t="inlineStr">
        <is>
          <t>round, mage, support</t>
        </is>
      </c>
    </row>
    <row r="8" ht="30" customHeight="1">
      <c r="A8" s="12" t="inlineStr">
        <is>
          <t>CHS-004</t>
        </is>
      </c>
      <c r="B8" s="7" t="inlineStr">
        <is>
          <t>Strix Chassis</t>
        </is>
      </c>
      <c r="C8" s="7" t="inlineStr">
        <is>
          <t>LR-Strix // Marksman</t>
        </is>
      </c>
      <c r="D8" s="7" t="inlineStr">
        <is>
          <t>strix_body</t>
        </is>
      </c>
      <c r="E8" s="17" t="n">
        <v>70</v>
      </c>
      <c r="F8" s="17" t="n">
        <v>2</v>
      </c>
      <c r="G8" s="17" t="n">
        <v>1</v>
      </c>
      <c r="H8" s="17" t="n">
        <v>0</v>
      </c>
      <c r="I8" s="17" t="n">
        <v>22</v>
      </c>
      <c r="J8" s="17" t="n">
        <v>0</v>
      </c>
      <c r="K8" s="17" t="n">
        <v>1</v>
      </c>
      <c r="L8" s="9" t="inlineStr">
        <is>
          <t>center: bis schwer</t>
        </is>
      </c>
      <c r="M8" s="18">
        <f>E8*1+F8*8+G8*3+H8*4+J8*0.5</f>
        <v/>
      </c>
      <c r="N8" s="9" t="inlineStr">
        <is>
          <t>schmal und hoch, Gegengewichts-Ausleger ueber dem Kopf</t>
        </is>
      </c>
      <c r="O8" s="9" t="inlineStr">
        <is>
          <t>Ein-Slot-Rahmen, Scharfschuetze</t>
        </is>
      </c>
      <c r="P8" s="7" t="inlineStr">
        <is>
          <t>marksman, light, sniper</t>
        </is>
      </c>
    </row>
    <row r="10">
      <c r="A10" s="19" t="inlineStr">
        <is>
          <t>Minimum</t>
        </is>
      </c>
      <c r="B10" s="2" t="inlineStr">
        <is>
          <t>Kennzahlen ueber die Zeilen darueber -- Formeln, keine festen Zahlen</t>
        </is>
      </c>
      <c r="E10" s="20">
        <f>MIN(E5:E8)</f>
        <v/>
      </c>
      <c r="F10" s="20">
        <f>MIN(F5:F8)</f>
        <v/>
      </c>
      <c r="G10" s="20">
        <f>MIN(G5:G8)</f>
        <v/>
      </c>
      <c r="H10" s="20">
        <f>MIN(H5:H8)</f>
        <v/>
      </c>
      <c r="I10" s="20">
        <f>MIN(I5:I8)</f>
        <v/>
      </c>
      <c r="J10" s="20">
        <f>MIN(J5:J8)</f>
        <v/>
      </c>
      <c r="K10" s="20">
        <f>MIN(K5:K8)</f>
        <v/>
      </c>
      <c r="M10" s="21">
        <f>MIN(M5:M8)</f>
        <v/>
      </c>
    </row>
    <row r="11">
      <c r="A11" s="19" t="inlineStr">
        <is>
          <t>Mittel</t>
        </is>
      </c>
      <c r="E11" s="21">
        <f>AVERAGE(E5:E8)</f>
        <v/>
      </c>
      <c r="F11" s="21">
        <f>AVERAGE(F5:F8)</f>
        <v/>
      </c>
      <c r="G11" s="21">
        <f>AVERAGE(G5:G8)</f>
        <v/>
      </c>
      <c r="H11" s="21">
        <f>AVERAGE(H5:H8)</f>
        <v/>
      </c>
      <c r="I11" s="21">
        <f>AVERAGE(I5:I8)</f>
        <v/>
      </c>
      <c r="J11" s="21">
        <f>AVERAGE(J5:J8)</f>
        <v/>
      </c>
      <c r="K11" s="21">
        <f>AVERAGE(K5:K8)</f>
        <v/>
      </c>
      <c r="M11" s="21">
        <f>AVERAGE(M5:M8)</f>
        <v/>
      </c>
    </row>
    <row r="12">
      <c r="A12" s="19" t="inlineStr">
        <is>
          <t>Maximum</t>
        </is>
      </c>
      <c r="E12" s="20">
        <f>MAX(E5:E8)</f>
        <v/>
      </c>
      <c r="F12" s="20">
        <f>MAX(F5:F8)</f>
        <v/>
      </c>
      <c r="G12" s="20">
        <f>MAX(G5:G8)</f>
        <v/>
      </c>
      <c r="H12" s="20">
        <f>MAX(H5:H8)</f>
        <v/>
      </c>
      <c r="I12" s="20">
        <f>MAX(I5:I8)</f>
        <v/>
      </c>
      <c r="J12" s="20">
        <f>MAX(J5:J8)</f>
        <v/>
      </c>
      <c r="K12" s="20">
        <f>MAX(K5:K8)</f>
        <v/>
      </c>
      <c r="M12" s="21">
        <f>MAX(M5:M8)</f>
        <v/>
      </c>
    </row>
  </sheetData>
  <autoFilter ref="A4:P8"/>
  <conditionalFormatting sqref="M5:M8">
    <cfRule type="dataBar" priority="1">
      <dataBar>
        <cfvo type="min"/>
        <cfvo type="max"/>
        <color rgb="00638EC6"/>
      </dataBar>
    </cfRule>
  </conditionalFormatting>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Q12"/>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0" customWidth="1" min="1" max="1"/>
    <col width="22" customWidth="1" min="2" max="2"/>
    <col width="24" customWidth="1" min="3" max="3"/>
    <col width="16" customWidth="1" min="4" max="4"/>
    <col width="9" customWidth="1" min="5" max="5"/>
    <col width="9" customWidth="1" min="6" max="6"/>
    <col width="9" customWidth="1" min="7" max="7"/>
    <col width="9" customWidth="1" min="8" max="8"/>
    <col width="9" customWidth="1" min="9" max="9"/>
    <col width="10" customWidth="1" min="10" max="10"/>
    <col width="9" customWidth="1" min="11" max="11"/>
    <col width="12" customWidth="1" min="12" max="12"/>
    <col width="13" customWidth="1" min="13" max="13"/>
    <col width="13" customWidth="1" min="14" max="14"/>
    <col width="40" customWidth="1" min="15" max="15"/>
    <col width="30" customWidth="1" min="16" max="16"/>
    <col width="24" customWidth="1" min="17" max="17"/>
  </cols>
  <sheetData>
    <row r="1">
      <c r="A1" s="1" t="inlineStr">
        <is>
          <t>Kopfteile -- Sensorik</t>
        </is>
      </c>
    </row>
    <row r="2">
      <c r="A2" s="2" t="inlineStr">
        <is>
          <t>Der Kopf entscheidet, was der DROME sieht und wie genau er trifft. Nur der Molok-Bunkerkopf bringt zusaetzlich Struktur mit.</t>
        </is>
      </c>
    </row>
    <row r="4" ht="30" customHeight="1">
      <c r="A4" s="3" t="inlineStr">
        <is>
          <t>Code</t>
        </is>
      </c>
      <c r="B4" s="3" t="inlineStr">
        <is>
          <t>Name</t>
        </is>
      </c>
      <c r="C4" s="3" t="inlineStr">
        <is>
          <t>Set</t>
        </is>
      </c>
      <c r="D4" s="3" t="inlineStr">
        <is>
          <t>Datei-Slug</t>
        </is>
      </c>
      <c r="E4" s="3" t="inlineStr">
        <is>
          <t>ATK</t>
        </is>
      </c>
      <c r="F4" s="3" t="inlineStr">
        <is>
          <t>DEF</t>
        </is>
      </c>
      <c r="G4" s="3" t="inlineStr">
        <is>
          <t>HP</t>
        </is>
      </c>
      <c r="H4" s="3" t="inlineStr">
        <is>
          <t>SPD</t>
        </is>
      </c>
      <c r="I4" s="3" t="inlineStr">
        <is>
          <t>EN max</t>
        </is>
      </c>
      <c r="J4" s="3" t="inlineStr">
        <is>
          <t>EN/Zyklus</t>
        </is>
      </c>
      <c r="K4" s="3" t="inlineStr">
        <is>
          <t>Gewicht</t>
        </is>
      </c>
      <c r="L4" s="3" t="inlineStr">
        <is>
          <t>Energiebedarf</t>
        </is>
      </c>
      <c r="M4" s="3" t="inlineStr">
        <is>
          <t>sieht durch Haze</t>
        </is>
      </c>
      <c r="N4" s="3" t="inlineStr">
        <is>
          <t>Threat-Beitrag</t>
        </is>
      </c>
      <c r="O4" s="3" t="inlineStr">
        <is>
          <t>Silhouetten-Merkmal</t>
        </is>
      </c>
      <c r="P4" s="3" t="inlineStr">
        <is>
          <t>sagt dem Spieler</t>
        </is>
      </c>
      <c r="Q4" s="3" t="inlineStr">
        <is>
          <t>Tags</t>
        </is>
      </c>
    </row>
    <row r="5" ht="30" customHeight="1">
      <c r="A5" s="12" t="inlineStr">
        <is>
          <t>HED-001</t>
        </is>
      </c>
      <c r="B5" s="7" t="inlineStr">
        <is>
          <t>Vireo Sensorkopf</t>
        </is>
      </c>
      <c r="C5" s="7" t="inlineStr">
        <is>
          <t>RX-Vireo // Scout</t>
        </is>
      </c>
      <c r="D5" s="7" t="inlineStr">
        <is>
          <t>scout_head</t>
        </is>
      </c>
      <c r="E5" s="17" t="n">
        <v>0</v>
      </c>
      <c r="F5" s="17" t="n">
        <v>0</v>
      </c>
      <c r="G5" s="17" t="n">
        <v>0</v>
      </c>
      <c r="H5" s="17" t="n">
        <v>2</v>
      </c>
      <c r="I5" s="17" t="n">
        <v>0</v>
      </c>
      <c r="J5" s="17" t="n">
        <v>0</v>
      </c>
      <c r="K5" s="17" t="n">
        <v>2</v>
      </c>
      <c r="L5" s="17" t="n">
        <v>2</v>
      </c>
      <c r="M5" s="7" t="inlineStr">
        <is>
          <t>ja</t>
        </is>
      </c>
      <c r="N5" s="18">
        <f>G5*1+E5*6+F5*8+H5*3+I5*0.5</f>
        <v/>
      </c>
      <c r="O5" s="9" t="inlineStr">
        <is>
          <t>kleiner Helm mit Visierband und Antenne</t>
        </is>
      </c>
      <c r="P5" s="9" t="inlineStr">
        <is>
          <t>Aufklaerung</t>
        </is>
      </c>
      <c r="Q5" s="7" t="inlineStr">
        <is>
          <t>light, sensor</t>
        </is>
      </c>
    </row>
    <row r="6" ht="30" customHeight="1">
      <c r="A6" s="12" t="inlineStr">
        <is>
          <t>HED-002</t>
        </is>
      </c>
      <c r="B6" s="7" t="inlineStr">
        <is>
          <t>Molok Bunkerkopf</t>
        </is>
      </c>
      <c r="C6" s="7" t="inlineStr">
        <is>
          <t>HX-Molok // Juggernaut</t>
        </is>
      </c>
      <c r="D6" s="7" t="inlineStr">
        <is>
          <t>jugg_head</t>
        </is>
      </c>
      <c r="E6" s="17" t="n">
        <v>0</v>
      </c>
      <c r="F6" s="17" t="n">
        <v>2</v>
      </c>
      <c r="G6" s="17" t="n">
        <v>15</v>
      </c>
      <c r="H6" s="17" t="n">
        <v>0</v>
      </c>
      <c r="I6" s="17" t="n">
        <v>0</v>
      </c>
      <c r="J6" s="17" t="n">
        <v>0</v>
      </c>
      <c r="K6" s="17" t="n">
        <v>4</v>
      </c>
      <c r="L6" s="17" t="n">
        <v>1</v>
      </c>
      <c r="M6" s="7" t="inlineStr">
        <is>
          <t>–</t>
        </is>
      </c>
      <c r="N6" s="18">
        <f>G6*1+E6*6+F6*8+H6*3+I6*0.5</f>
        <v/>
      </c>
      <c r="O6" s="9" t="inlineStr">
        <is>
          <t>wuchtiger Bunkerkopf mit Seitensensoren</t>
        </is>
      </c>
      <c r="P6" s="9" t="inlineStr">
        <is>
          <t>gepanzert, robust</t>
        </is>
      </c>
      <c r="Q6" s="7" t="inlineStr">
        <is>
          <t>heavy, armored</t>
        </is>
      </c>
    </row>
    <row r="7" ht="30" customHeight="1">
      <c r="A7" s="12" t="inlineStr">
        <is>
          <t>HED-003</t>
        </is>
      </c>
      <c r="B7" s="7" t="inlineStr">
        <is>
          <t>Nimbus Flachhelm</t>
        </is>
      </c>
      <c r="C7" s="7" t="inlineStr">
        <is>
          <t>AR-Nimbus // Technomant</t>
        </is>
      </c>
      <c r="D7" s="7" t="inlineStr">
        <is>
          <t>mage_head</t>
        </is>
      </c>
      <c r="E7" s="17" t="n">
        <v>0</v>
      </c>
      <c r="F7" s="17" t="n">
        <v>0</v>
      </c>
      <c r="G7" s="17" t="n">
        <v>0</v>
      </c>
      <c r="H7" s="17" t="n">
        <v>0</v>
      </c>
      <c r="I7" s="17" t="n">
        <v>15</v>
      </c>
      <c r="J7" s="17" t="n">
        <v>3</v>
      </c>
      <c r="K7" s="17" t="n">
        <v>2</v>
      </c>
      <c r="L7" s="17" t="n">
        <v>2</v>
      </c>
      <c r="M7" s="7" t="inlineStr">
        <is>
          <t>–</t>
        </is>
      </c>
      <c r="N7" s="18">
        <f>G7*1+E7*6+F7*8+H7*3+I7*0.5</f>
        <v/>
      </c>
      <c r="O7" s="9" t="inlineStr">
        <is>
          <t>flacher Helm mit weit auskragender Krempe</t>
        </is>
      </c>
      <c r="P7" s="9" t="inlineStr">
        <is>
          <t>Rundumsicht, arkan</t>
        </is>
      </c>
      <c r="Q7" s="7" t="inlineStr">
        <is>
          <t>round, mage, sensor</t>
        </is>
      </c>
    </row>
    <row r="8" ht="30" customHeight="1">
      <c r="A8" s="12" t="inlineStr">
        <is>
          <t>HED-004</t>
        </is>
      </c>
      <c r="B8" s="7" t="inlineStr">
        <is>
          <t>Strix Okularkopf</t>
        </is>
      </c>
      <c r="C8" s="7" t="inlineStr">
        <is>
          <t>LR-Strix // Marksman</t>
        </is>
      </c>
      <c r="D8" s="7" t="inlineStr">
        <is>
          <t>strix_head</t>
        </is>
      </c>
      <c r="E8" s="17" t="n">
        <v>4</v>
      </c>
      <c r="F8" s="17" t="n">
        <v>0</v>
      </c>
      <c r="G8" s="17" t="n">
        <v>0</v>
      </c>
      <c r="H8" s="17" t="n">
        <v>0</v>
      </c>
      <c r="I8" s="17" t="n">
        <v>0</v>
      </c>
      <c r="J8" s="17" t="n">
        <v>0</v>
      </c>
      <c r="K8" s="17" t="n">
        <v>3</v>
      </c>
      <c r="L8" s="17" t="n">
        <v>3</v>
      </c>
      <c r="M8" s="7" t="inlineStr">
        <is>
          <t>ja</t>
        </is>
      </c>
      <c r="N8" s="18">
        <f>G8*1+E8*6+F8*8+H8*3+I8*0.5</f>
        <v/>
      </c>
      <c r="O8" s="9" t="inlineStr">
        <is>
          <t>ein langes Okular statt Visierband, Rueckenfinne</t>
        </is>
      </c>
      <c r="P8" s="9" t="inlineStr">
        <is>
          <t>sieht WEIT statt viel</t>
        </is>
      </c>
      <c r="Q8" s="7" t="inlineStr">
        <is>
          <t>marksman, sensor, optics</t>
        </is>
      </c>
    </row>
    <row r="10">
      <c r="A10" s="19" t="inlineStr">
        <is>
          <t>Minimum</t>
        </is>
      </c>
      <c r="B10" s="2" t="inlineStr">
        <is>
          <t>Kennzahlen ueber die Zeilen darueber -- Formeln, keine festen Zahlen</t>
        </is>
      </c>
      <c r="E10" s="20">
        <f>MIN(E5:E8)</f>
        <v/>
      </c>
      <c r="F10" s="20">
        <f>MIN(F5:F8)</f>
        <v/>
      </c>
      <c r="G10" s="20">
        <f>MIN(G5:G8)</f>
        <v/>
      </c>
      <c r="H10" s="20">
        <f>MIN(H5:H8)</f>
        <v/>
      </c>
      <c r="I10" s="20">
        <f>MIN(I5:I8)</f>
        <v/>
      </c>
      <c r="J10" s="20">
        <f>MIN(J5:J8)</f>
        <v/>
      </c>
      <c r="K10" s="20">
        <f>MIN(K5:K8)</f>
        <v/>
      </c>
      <c r="L10" s="20">
        <f>MIN(L5:L8)</f>
        <v/>
      </c>
      <c r="N10" s="21">
        <f>MIN(N5:N8)</f>
        <v/>
      </c>
    </row>
    <row r="11">
      <c r="A11" s="19" t="inlineStr">
        <is>
          <t>Mittel</t>
        </is>
      </c>
      <c r="E11" s="21">
        <f>AVERAGE(E5:E8)</f>
        <v/>
      </c>
      <c r="F11" s="21">
        <f>AVERAGE(F5:F8)</f>
        <v/>
      </c>
      <c r="G11" s="21">
        <f>AVERAGE(G5:G8)</f>
        <v/>
      </c>
      <c r="H11" s="21">
        <f>AVERAGE(H5:H8)</f>
        <v/>
      </c>
      <c r="I11" s="21">
        <f>AVERAGE(I5:I8)</f>
        <v/>
      </c>
      <c r="J11" s="21">
        <f>AVERAGE(J5:J8)</f>
        <v/>
      </c>
      <c r="K11" s="21">
        <f>AVERAGE(K5:K8)</f>
        <v/>
      </c>
      <c r="L11" s="21">
        <f>AVERAGE(L5:L8)</f>
        <v/>
      </c>
      <c r="N11" s="21">
        <f>AVERAGE(N5:N8)</f>
        <v/>
      </c>
    </row>
    <row r="12">
      <c r="A12" s="19" t="inlineStr">
        <is>
          <t>Maximum</t>
        </is>
      </c>
      <c r="E12" s="20">
        <f>MAX(E5:E8)</f>
        <v/>
      </c>
      <c r="F12" s="20">
        <f>MAX(F5:F8)</f>
        <v/>
      </c>
      <c r="G12" s="20">
        <f>MAX(G5:G8)</f>
        <v/>
      </c>
      <c r="H12" s="20">
        <f>MAX(H5:H8)</f>
        <v/>
      </c>
      <c r="I12" s="20">
        <f>MAX(I5:I8)</f>
        <v/>
      </c>
      <c r="J12" s="20">
        <f>MAX(J5:J8)</f>
        <v/>
      </c>
      <c r="K12" s="20">
        <f>MAX(K5:K8)</f>
        <v/>
      </c>
      <c r="L12" s="20">
        <f>MAX(L5:L8)</f>
        <v/>
      </c>
      <c r="N12" s="21">
        <f>MAX(N5:N8)</f>
        <v/>
      </c>
    </row>
  </sheetData>
  <autoFilter ref="A4:Q8"/>
  <conditionalFormatting sqref="N5:N8">
    <cfRule type="dataBar" priority="1">
      <dataBar>
        <cfvo type="min"/>
        <cfvo type="max"/>
        <color rgb="00638EC6"/>
      </dataBar>
    </cfRule>
  </conditionalFormatting>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R12"/>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0" customWidth="1" min="1" max="1"/>
    <col width="22" customWidth="1" min="2" max="2"/>
    <col width="24" customWidth="1" min="3" max="3"/>
    <col width="16" customWidth="1" min="4" max="4"/>
    <col width="9" customWidth="1" min="5" max="5"/>
    <col width="9" customWidth="1" min="6" max="6"/>
    <col width="9" customWidth="1" min="7" max="7"/>
    <col width="9" customWidth="1" min="8" max="8"/>
    <col width="12" customWidth="1" min="9" max="9"/>
    <col width="12" customWidth="1" min="10" max="10"/>
    <col width="9" customWidth="1" min="11" max="11"/>
    <col width="10" customWidth="1" min="12" max="12"/>
    <col width="9" customWidth="1" min="13" max="13"/>
    <col width="12" customWidth="1" min="14" max="14"/>
    <col width="13" customWidth="1" min="15" max="15"/>
    <col width="40" customWidth="1" min="16" max="16"/>
    <col width="30" customWidth="1" min="17" max="17"/>
    <col width="24" customWidth="1" min="18" max="18"/>
  </cols>
  <sheetData>
    <row r="1">
      <c r="A1" s="1" t="inlineStr">
        <is>
          <t>Fussteile -- Antrieb</t>
        </is>
      </c>
    </row>
    <row r="2">
      <c r="A2" s="2" t="inlineStr">
        <is>
          <t>Der Antrieb ist die eigentliche Kaufentscheidung im Gelaende: nicht MOV allein, sondern welche Felder ueberhaupt betretbar sind. Die Flags rechts sind das, was ein Antrieb kann und ein anderer nicht.</t>
        </is>
      </c>
    </row>
    <row r="4" ht="30" customHeight="1">
      <c r="A4" s="3" t="inlineStr">
        <is>
          <t>Code</t>
        </is>
      </c>
      <c r="B4" s="3" t="inlineStr">
        <is>
          <t>Name</t>
        </is>
      </c>
      <c r="C4" s="3" t="inlineStr">
        <is>
          <t>Set</t>
        </is>
      </c>
      <c r="D4" s="3" t="inlineStr">
        <is>
          <t>Datei-Slug</t>
        </is>
      </c>
      <c r="E4" s="3" t="inlineStr">
        <is>
          <t>MOV</t>
        </is>
      </c>
      <c r="F4" s="3" t="inlineStr">
        <is>
          <t>SPD</t>
        </is>
      </c>
      <c r="G4" s="3" t="inlineStr">
        <is>
          <t>DEF</t>
        </is>
      </c>
      <c r="H4" s="3" t="inlineStr">
        <is>
          <t>Gewicht</t>
        </is>
      </c>
      <c r="I4" s="3" t="inlineStr">
        <is>
          <t>Energiebedarf</t>
        </is>
      </c>
      <c r="J4" s="3" t="inlineStr">
        <is>
          <t>durch Einheiten</t>
        </is>
      </c>
      <c r="K4" s="3" t="inlineStr">
        <is>
          <t>Stufen</t>
        </is>
      </c>
      <c r="L4" s="3" t="inlineStr">
        <is>
          <t>Drift egal</t>
        </is>
      </c>
      <c r="M4" s="3" t="inlineStr">
        <is>
          <t>Drift +/-</t>
        </is>
      </c>
      <c r="N4" s="3" t="inlineStr">
        <is>
          <t>Stufen billiger</t>
        </is>
      </c>
      <c r="O4" s="3" t="inlineStr">
        <is>
          <t>Threat-Beitrag</t>
        </is>
      </c>
      <c r="P4" s="3" t="inlineStr">
        <is>
          <t>Silhouetten-Merkmal</t>
        </is>
      </c>
      <c r="Q4" s="3" t="inlineStr">
        <is>
          <t>sagt dem Spieler</t>
        </is>
      </c>
      <c r="R4" s="3" t="inlineStr">
        <is>
          <t>Tags</t>
        </is>
      </c>
    </row>
    <row r="5" ht="30" customHeight="1">
      <c r="A5" s="12" t="inlineStr">
        <is>
          <t>LEG-001</t>
        </is>
      </c>
      <c r="B5" s="7" t="inlineStr">
        <is>
          <t>Vireo Sprintbeine</t>
        </is>
      </c>
      <c r="C5" s="7" t="inlineStr">
        <is>
          <t>RX-Vireo // Scout</t>
        </is>
      </c>
      <c r="D5" s="7" t="inlineStr">
        <is>
          <t>scout_feet</t>
        </is>
      </c>
      <c r="E5" s="17" t="n">
        <v>4</v>
      </c>
      <c r="F5" s="17" t="n">
        <v>11</v>
      </c>
      <c r="G5" s="17" t="n">
        <v>0</v>
      </c>
      <c r="H5" s="17" t="n">
        <v>3</v>
      </c>
      <c r="I5" s="17" t="n">
        <v>4</v>
      </c>
      <c r="J5" s="7" t="inlineStr">
        <is>
          <t>ja</t>
        </is>
      </c>
      <c r="K5" s="7" t="inlineStr">
        <is>
          <t>ja</t>
        </is>
      </c>
      <c r="L5" s="7" t="inlineStr">
        <is>
          <t>–</t>
        </is>
      </c>
      <c r="M5" s="17" t="n">
        <v>0</v>
      </c>
      <c r="N5" s="7" t="inlineStr">
        <is>
          <t>–</t>
        </is>
      </c>
      <c r="O5" s="18">
        <f>G5*8+F5*3+E5*4</f>
        <v/>
      </c>
      <c r="P5" s="9" t="inlineStr">
        <is>
          <t>schmaler Stand, gerade Stelzen, eine Zehe</t>
        </is>
      </c>
      <c r="Q5" s="9" t="inlineStr">
        <is>
          <t>schnell</t>
        </is>
      </c>
      <c r="R5" s="7" t="inlineStr">
        <is>
          <t>light, fast</t>
        </is>
      </c>
    </row>
    <row r="6" ht="30" customHeight="1">
      <c r="A6" s="12" t="inlineStr">
        <is>
          <t>LEG-002</t>
        </is>
      </c>
      <c r="B6" s="7" t="inlineStr">
        <is>
          <t>Molok Standbeine</t>
        </is>
      </c>
      <c r="C6" s="7" t="inlineStr">
        <is>
          <t>HX-Molok // Juggernaut</t>
        </is>
      </c>
      <c r="D6" s="7" t="inlineStr">
        <is>
          <t>jugg_feet</t>
        </is>
      </c>
      <c r="E6" s="17" t="n">
        <v>3</v>
      </c>
      <c r="F6" s="17" t="n">
        <v>8</v>
      </c>
      <c r="G6" s="17" t="n">
        <v>2</v>
      </c>
      <c r="H6" s="17" t="n">
        <v>6</v>
      </c>
      <c r="I6" s="17" t="n">
        <v>2</v>
      </c>
      <c r="J6" s="7" t="inlineStr">
        <is>
          <t>–</t>
        </is>
      </c>
      <c r="K6" s="7" t="inlineStr">
        <is>
          <t>–</t>
        </is>
      </c>
      <c r="L6" s="7" t="inlineStr">
        <is>
          <t>ja</t>
        </is>
      </c>
      <c r="M6" s="17" t="n">
        <v>0</v>
      </c>
      <c r="N6" s="7" t="inlineStr">
        <is>
          <t>–</t>
        </is>
      </c>
      <c r="O6" s="18">
        <f>G6*8+F6*3+E6*4</f>
        <v/>
      </c>
      <c r="P6" s="9" t="inlineStr">
        <is>
          <t>breiter Stand auf Auslegern, Hydraulikzylinder, Ferse</t>
        </is>
      </c>
      <c r="Q6" s="9" t="inlineStr">
        <is>
          <t>langsam, standfest, stuetzt Rueckstoss ab</t>
        </is>
      </c>
      <c r="R6" s="7" t="inlineStr">
        <is>
          <t>heavy, slow</t>
        </is>
      </c>
    </row>
    <row r="7" ht="30" customHeight="1">
      <c r="A7" s="12" t="inlineStr">
        <is>
          <t>LEG-003</t>
        </is>
      </c>
      <c r="B7" s="7" t="inlineStr">
        <is>
          <t>Nimbus Fahrwerk</t>
        </is>
      </c>
      <c r="C7" s="7" t="inlineStr">
        <is>
          <t>AR-Nimbus // Technomant</t>
        </is>
      </c>
      <c r="D7" s="7" t="inlineStr">
        <is>
          <t>mage_drive</t>
        </is>
      </c>
      <c r="E7" s="17" t="n">
        <v>5</v>
      </c>
      <c r="F7" s="17" t="n">
        <v>14</v>
      </c>
      <c r="G7" s="17" t="n">
        <v>0</v>
      </c>
      <c r="H7" s="17" t="n">
        <v>4</v>
      </c>
      <c r="I7" s="17" t="n">
        <v>4</v>
      </c>
      <c r="J7" s="7" t="inlineStr">
        <is>
          <t>–</t>
        </is>
      </c>
      <c r="K7" s="7" t="inlineStr">
        <is>
          <t>–</t>
        </is>
      </c>
      <c r="L7" s="7" t="inlineStr">
        <is>
          <t>–</t>
        </is>
      </c>
      <c r="M7" s="17" t="n">
        <v>1</v>
      </c>
      <c r="N7" s="7" t="inlineStr">
        <is>
          <t>–</t>
        </is>
      </c>
      <c r="O7" s="18">
        <f>G7*8+F7*3+E7*4</f>
        <v/>
      </c>
      <c r="P7" s="9" t="inlineStr">
        <is>
          <t>zwei grosse Raeder auf einer Achse</t>
        </is>
      </c>
      <c r="Q7" s="9" t="inlineStr">
        <is>
          <t>rollend, schnell auf Ebene</t>
        </is>
      </c>
      <c r="R7" s="7" t="inlineStr">
        <is>
          <t>wheels, round, fast</t>
        </is>
      </c>
    </row>
    <row r="8" ht="30" customHeight="1">
      <c r="A8" s="12" t="inlineStr">
        <is>
          <t>LEG-004</t>
        </is>
      </c>
      <c r="B8" s="7" t="inlineStr">
        <is>
          <t>Strix Federbeine</t>
        </is>
      </c>
      <c r="C8" s="7" t="inlineStr">
        <is>
          <t>LR-Strix // Marksman</t>
        </is>
      </c>
      <c r="D8" s="7" t="inlineStr">
        <is>
          <t>strix_feet</t>
        </is>
      </c>
      <c r="E8" s="17" t="n">
        <v>4</v>
      </c>
      <c r="F8" s="17" t="n">
        <v>9</v>
      </c>
      <c r="G8" s="17" t="n">
        <v>0</v>
      </c>
      <c r="H8" s="17" t="n">
        <v>5</v>
      </c>
      <c r="I8" s="17" t="n">
        <v>4</v>
      </c>
      <c r="J8" s="7" t="inlineStr">
        <is>
          <t>–</t>
        </is>
      </c>
      <c r="K8" s="7" t="inlineStr">
        <is>
          <t>ja</t>
        </is>
      </c>
      <c r="L8" s="7" t="inlineStr">
        <is>
          <t>–</t>
        </is>
      </c>
      <c r="M8" s="17" t="n">
        <v>0</v>
      </c>
      <c r="N8" s="7" t="inlineStr">
        <is>
          <t>ja</t>
        </is>
      </c>
      <c r="O8" s="18">
        <f>G8*8+F8*3+E8*4</f>
        <v/>
      </c>
      <c r="P8" s="9" t="inlineStr">
        <is>
          <t>Knick nach hinten, digitigrad</t>
        </is>
      </c>
      <c r="Q8" s="9" t="inlineStr">
        <is>
          <t>federnd, mittlere Reichweite</t>
        </is>
      </c>
      <c r="R8" s="7" t="inlineStr">
        <is>
          <t>marksman, digitigrad</t>
        </is>
      </c>
    </row>
    <row r="10">
      <c r="A10" s="19" t="inlineStr">
        <is>
          <t>Minimum</t>
        </is>
      </c>
      <c r="B10" s="2" t="inlineStr">
        <is>
          <t>Kennzahlen ueber die Zeilen darueber -- Formeln, keine festen Zahlen</t>
        </is>
      </c>
      <c r="E10" s="20">
        <f>MIN(E5:E8)</f>
        <v/>
      </c>
      <c r="F10" s="20">
        <f>MIN(F5:F8)</f>
        <v/>
      </c>
      <c r="G10" s="20">
        <f>MIN(G5:G8)</f>
        <v/>
      </c>
      <c r="H10" s="20">
        <f>MIN(H5:H8)</f>
        <v/>
      </c>
      <c r="I10" s="20">
        <f>MIN(I5:I8)</f>
        <v/>
      </c>
      <c r="M10" s="20">
        <f>MIN(M5:M8)</f>
        <v/>
      </c>
      <c r="O10" s="21">
        <f>MIN(O5:O8)</f>
        <v/>
      </c>
    </row>
    <row r="11">
      <c r="A11" s="19" t="inlineStr">
        <is>
          <t>Mittel</t>
        </is>
      </c>
      <c r="E11" s="21">
        <f>AVERAGE(E5:E8)</f>
        <v/>
      </c>
      <c r="F11" s="21">
        <f>AVERAGE(F5:F8)</f>
        <v/>
      </c>
      <c r="G11" s="21">
        <f>AVERAGE(G5:G8)</f>
        <v/>
      </c>
      <c r="H11" s="21">
        <f>AVERAGE(H5:H8)</f>
        <v/>
      </c>
      <c r="I11" s="21">
        <f>AVERAGE(I5:I8)</f>
        <v/>
      </c>
      <c r="M11" s="21">
        <f>AVERAGE(M5:M8)</f>
        <v/>
      </c>
      <c r="O11" s="21">
        <f>AVERAGE(O5:O8)</f>
        <v/>
      </c>
    </row>
    <row r="12">
      <c r="A12" s="19" t="inlineStr">
        <is>
          <t>Maximum</t>
        </is>
      </c>
      <c r="E12" s="20">
        <f>MAX(E5:E8)</f>
        <v/>
      </c>
      <c r="F12" s="20">
        <f>MAX(F5:F8)</f>
        <v/>
      </c>
      <c r="G12" s="20">
        <f>MAX(G5:G8)</f>
        <v/>
      </c>
      <c r="H12" s="20">
        <f>MAX(H5:H8)</f>
        <v/>
      </c>
      <c r="I12" s="20">
        <f>MAX(I5:I8)</f>
        <v/>
      </c>
      <c r="M12" s="20">
        <f>MAX(M5:M8)</f>
        <v/>
      </c>
      <c r="O12" s="21">
        <f>MAX(O5:O8)</f>
        <v/>
      </c>
    </row>
  </sheetData>
  <autoFilter ref="A4:R8"/>
  <conditionalFormatting sqref="O5:O8">
    <cfRule type="dataBar" priority="1">
      <dataBar>
        <cfvo type="min"/>
        <cfvo type="max"/>
        <color rgb="00638EC6"/>
      </dataBar>
    </cfRule>
  </conditionalFormatting>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M12"/>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0" customWidth="1" min="1" max="1"/>
    <col width="22" customWidth="1" min="2" max="2"/>
    <col width="24" customWidth="1" min="3" max="3"/>
    <col width="16" customWidth="1" min="4" max="4"/>
    <col width="10" customWidth="1" min="5" max="5"/>
    <col width="10" customWidth="1" min="6" max="6"/>
    <col width="13" customWidth="1" min="7" max="7"/>
    <col width="9" customWidth="1" min="8" max="8"/>
    <col width="9" customWidth="1" min="9" max="9"/>
    <col width="13" customWidth="1" min="10" max="10"/>
    <col width="40" customWidth="1" min="11" max="11"/>
    <col width="30" customWidth="1" min="12" max="12"/>
    <col width="24" customWidth="1" min="13" max="13"/>
  </cols>
  <sheetData>
    <row r="1">
      <c r="A1" s="1" t="inlineStr">
        <is>
          <t>Kerne -- Energie</t>
        </is>
      </c>
    </row>
    <row r="2">
      <c r="A2" s="2" t="inlineStr">
        <is>
          <t>Der Kern setzt zwei Grenzen: EN max deckelt, wie oft Aktionen mit EN-Kosten gehen, und die Energieabgabe deckelt, wie viel Geraet ueberhaupt angebaut werden darf. Ein Kern ist damit weniger eine Waffe als ein Budget.</t>
        </is>
      </c>
    </row>
    <row r="4" ht="30" customHeight="1">
      <c r="A4" s="3" t="inlineStr">
        <is>
          <t>Code</t>
        </is>
      </c>
      <c r="B4" s="3" t="inlineStr">
        <is>
          <t>Name</t>
        </is>
      </c>
      <c r="C4" s="3" t="inlineStr">
        <is>
          <t>Set</t>
        </is>
      </c>
      <c r="D4" s="3" t="inlineStr">
        <is>
          <t>Datei-Slug</t>
        </is>
      </c>
      <c r="E4" s="3" t="inlineStr">
        <is>
          <t>EN max</t>
        </is>
      </c>
      <c r="F4" s="3" t="inlineStr">
        <is>
          <t>EN/Zyklus</t>
        </is>
      </c>
      <c r="G4" s="3" t="inlineStr">
        <is>
          <t>Energieabgabe</t>
        </is>
      </c>
      <c r="H4" s="3" t="inlineStr">
        <is>
          <t>ATK</t>
        </is>
      </c>
      <c r="I4" s="3" t="inlineStr">
        <is>
          <t>Gewicht</t>
        </is>
      </c>
      <c r="J4" s="3" t="inlineStr">
        <is>
          <t>Threat-Beitrag</t>
        </is>
      </c>
      <c r="K4" s="3" t="inlineStr">
        <is>
          <t>Silhouetten-Merkmal</t>
        </is>
      </c>
      <c r="L4" s="3" t="inlineStr">
        <is>
          <t>sagt dem Spieler</t>
        </is>
      </c>
      <c r="M4" s="3" t="inlineStr">
        <is>
          <t>Tags</t>
        </is>
      </c>
    </row>
    <row r="5" ht="30" customHeight="1">
      <c r="A5" s="12" t="inlineStr">
        <is>
          <t>COR-001</t>
        </is>
      </c>
      <c r="B5" s="7" t="inlineStr">
        <is>
          <t>Vireo Impulskern</t>
        </is>
      </c>
      <c r="C5" s="7" t="inlineStr">
        <is>
          <t>RX-Vireo // Scout</t>
        </is>
      </c>
      <c r="D5" s="7" t="inlineStr">
        <is>
          <t>scout_core</t>
        </is>
      </c>
      <c r="E5" s="17" t="n">
        <v>40</v>
      </c>
      <c r="F5" s="17" t="n">
        <v>8</v>
      </c>
      <c r="G5" s="17" t="n">
        <v>12</v>
      </c>
      <c r="H5" s="17" t="n">
        <v>0</v>
      </c>
      <c r="I5" s="17" t="n">
        <v>3</v>
      </c>
      <c r="J5" s="18">
        <f>H5*6+E5*0.5</f>
        <v/>
      </c>
      <c r="K5" s="9" t="inlineStr">
        <is>
          <t>Scheibe mit vier Energiestrichen</t>
        </is>
      </c>
      <c r="L5" s="9" t="inlineStr">
        <is>
          <t>Impuls</t>
        </is>
      </c>
      <c r="M5" s="7" t="inlineStr">
        <is>
          <t>core, energy</t>
        </is>
      </c>
    </row>
    <row r="6" ht="30" customHeight="1">
      <c r="A6" s="12" t="inlineStr">
        <is>
          <t>COR-002</t>
        </is>
      </c>
      <c r="B6" s="7" t="inlineStr">
        <is>
          <t>Molok Fusionskern</t>
        </is>
      </c>
      <c r="C6" s="7" t="inlineStr">
        <is>
          <t>HX-Molok // Juggernaut</t>
        </is>
      </c>
      <c r="D6" s="7" t="inlineStr">
        <is>
          <t>jugg_core</t>
        </is>
      </c>
      <c r="E6" s="17" t="n">
        <v>70</v>
      </c>
      <c r="F6" s="17" t="n">
        <v>12</v>
      </c>
      <c r="G6" s="17" t="n">
        <v>16</v>
      </c>
      <c r="H6" s="17" t="n">
        <v>0</v>
      </c>
      <c r="I6" s="17" t="n">
        <v>6</v>
      </c>
      <c r="J6" s="18">
        <f>H6*6+E6*0.5</f>
        <v/>
      </c>
      <c r="K6" s="9" t="inlineStr">
        <is>
          <t>grosse Scheibe mit Kreuzglut</t>
        </is>
      </c>
      <c r="L6" s="9" t="inlineStr">
        <is>
          <t>Fusion, hohe Leistung</t>
        </is>
      </c>
      <c r="M6" s="7" t="inlineStr">
        <is>
          <t>core, fusion</t>
        </is>
      </c>
    </row>
    <row r="7" ht="30" customHeight="1">
      <c r="A7" s="12" t="inlineStr">
        <is>
          <t>COR-003</t>
        </is>
      </c>
      <c r="B7" s="7" t="inlineStr">
        <is>
          <t>Nimbus Arkankern</t>
        </is>
      </c>
      <c r="C7" s="7" t="inlineStr">
        <is>
          <t>AR-Nimbus // Technomant</t>
        </is>
      </c>
      <c r="D7" s="7" t="inlineStr">
        <is>
          <t>mage_core</t>
        </is>
      </c>
      <c r="E7" s="17" t="n">
        <v>85</v>
      </c>
      <c r="F7" s="17" t="n">
        <v>14</v>
      </c>
      <c r="G7" s="17" t="n">
        <v>14</v>
      </c>
      <c r="H7" s="17" t="n">
        <v>0</v>
      </c>
      <c r="I7" s="17" t="n">
        <v>5</v>
      </c>
      <c r="J7" s="18">
        <f>H7*6+E7*0.5</f>
        <v/>
      </c>
      <c r="K7" s="9" t="inlineStr">
        <is>
          <t>Orb mit umlaufenden Ringen</t>
        </is>
      </c>
      <c r="L7" s="9" t="inlineStr">
        <is>
          <t>arkan</t>
        </is>
      </c>
      <c r="M7" s="7" t="inlineStr">
        <is>
          <t>core, arcane</t>
        </is>
      </c>
    </row>
    <row r="8" ht="30" customHeight="1">
      <c r="A8" s="12" t="inlineStr">
        <is>
          <t>COR-004</t>
        </is>
      </c>
      <c r="B8" s="7" t="inlineStr">
        <is>
          <t>Strix Zielrechner</t>
        </is>
      </c>
      <c r="C8" s="7" t="inlineStr">
        <is>
          <t>LR-Strix // Marksman</t>
        </is>
      </c>
      <c r="D8" s="7" t="inlineStr">
        <is>
          <t>strix_core</t>
        </is>
      </c>
      <c r="E8" s="17" t="n">
        <v>50</v>
      </c>
      <c r="F8" s="17" t="n">
        <v>10</v>
      </c>
      <c r="G8" s="17" t="n">
        <v>13</v>
      </c>
      <c r="H8" s="17" t="n">
        <v>2</v>
      </c>
      <c r="I8" s="17" t="n">
        <v>4</v>
      </c>
      <c r="J8" s="18">
        <f>H8*6+E8*0.5</f>
        <v/>
      </c>
      <c r="K8" s="9" t="inlineStr">
        <is>
          <t>senkrechter Leuchtspalt statt Scheibe</t>
        </is>
      </c>
      <c r="L8" s="9" t="inlineStr">
        <is>
          <t>Zielrechner, Optik</t>
        </is>
      </c>
      <c r="M8" s="7" t="inlineStr">
        <is>
          <t>core, optics</t>
        </is>
      </c>
    </row>
    <row r="10">
      <c r="A10" s="19" t="inlineStr">
        <is>
          <t>Minimum</t>
        </is>
      </c>
      <c r="B10" s="2" t="inlineStr">
        <is>
          <t>Kennzahlen ueber die Zeilen darueber -- Formeln, keine festen Zahlen</t>
        </is>
      </c>
      <c r="E10" s="20">
        <f>MIN(E5:E8)</f>
        <v/>
      </c>
      <c r="F10" s="20">
        <f>MIN(F5:F8)</f>
        <v/>
      </c>
      <c r="G10" s="20">
        <f>MIN(G5:G8)</f>
        <v/>
      </c>
      <c r="H10" s="20">
        <f>MIN(H5:H8)</f>
        <v/>
      </c>
      <c r="I10" s="20">
        <f>MIN(I5:I8)</f>
        <v/>
      </c>
      <c r="J10" s="21">
        <f>MIN(J5:J8)</f>
        <v/>
      </c>
    </row>
    <row r="11">
      <c r="A11" s="19" t="inlineStr">
        <is>
          <t>Mittel</t>
        </is>
      </c>
      <c r="E11" s="21">
        <f>AVERAGE(E5:E8)</f>
        <v/>
      </c>
      <c r="F11" s="21">
        <f>AVERAGE(F5:F8)</f>
        <v/>
      </c>
      <c r="G11" s="21">
        <f>AVERAGE(G5:G8)</f>
        <v/>
      </c>
      <c r="H11" s="21">
        <f>AVERAGE(H5:H8)</f>
        <v/>
      </c>
      <c r="I11" s="21">
        <f>AVERAGE(I5:I8)</f>
        <v/>
      </c>
      <c r="J11" s="21">
        <f>AVERAGE(J5:J8)</f>
        <v/>
      </c>
    </row>
    <row r="12">
      <c r="A12" s="19" t="inlineStr">
        <is>
          <t>Maximum</t>
        </is>
      </c>
      <c r="E12" s="20">
        <f>MAX(E5:E8)</f>
        <v/>
      </c>
      <c r="F12" s="20">
        <f>MAX(F5:F8)</f>
        <v/>
      </c>
      <c r="G12" s="20">
        <f>MAX(G5:G8)</f>
        <v/>
      </c>
      <c r="H12" s="20">
        <f>MAX(H5:H8)</f>
        <v/>
      </c>
      <c r="I12" s="20">
        <f>MAX(I5:I8)</f>
        <v/>
      </c>
      <c r="J12" s="21">
        <f>MAX(J5:J8)</f>
        <v/>
      </c>
    </row>
  </sheetData>
  <autoFilter ref="A4:M8"/>
  <conditionalFormatting sqref="J5:J8">
    <cfRule type="dataBar" priority="1">
      <dataBar>
        <cfvo type="min"/>
        <cfvo type="max"/>
        <color rgb="00638EC6"/>
      </dataBar>
    </cfRule>
  </conditionalFormatting>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X12"/>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0" customWidth="1" min="1" max="1"/>
    <col width="22" customWidth="1" min="2" max="2"/>
    <col width="24" customWidth="1" min="3" max="3"/>
    <col width="16" customWidth="1" min="4" max="4"/>
    <col width="12" customWidth="1" min="5" max="5"/>
    <col width="9" customWidth="1" min="6" max="6"/>
    <col width="12" customWidth="1" min="7" max="7"/>
    <col width="9" customWidth="1" min="8" max="8"/>
    <col width="9" customWidth="1" min="9" max="9"/>
    <col width="20" customWidth="1" min="10" max="10"/>
    <col width="16" customWidth="1" min="11" max="11"/>
    <col width="10" customWidth="1" min="12" max="12"/>
    <col width="11" customWidth="1" min="13" max="13"/>
    <col width="8" customWidth="1" min="14" max="14"/>
    <col width="10" customWidth="1" min="15" max="15"/>
    <col width="10" customWidth="1" min="16" max="16"/>
    <col width="8" customWidth="1" min="17" max="17"/>
    <col width="11" customWidth="1" min="18" max="18"/>
    <col width="12" customWidth="1" min="19" max="19"/>
    <col width="14" customWidth="1" min="20" max="20"/>
    <col width="13" customWidth="1" min="21" max="21"/>
    <col width="40" customWidth="1" min="22" max="22"/>
    <col width="30" customWidth="1" min="23" max="23"/>
    <col width="24" customWidth="1" min="24" max="24"/>
  </cols>
  <sheetData>
    <row r="1">
      <c r="A1" s="1" t="inlineStr">
        <is>
          <t>Ausruestung -- Waffen</t>
        </is>
      </c>
    </row>
    <row r="2">
      <c r="A2" s="2" t="inlineStr">
        <is>
          <t>Bauart „Waffe“. Ohne mindestens eine davon ist ein Aufbau ungueltig. Die Spalte „Power je EN“ vergleicht, was ein Schuss kostet: eine starke Waffe mit hohen EN-Kosten ist auf einem schwachen Kern weniger wert als eine schwaechere, die nichts kostet.</t>
        </is>
      </c>
    </row>
    <row r="4" ht="30" customHeight="1">
      <c r="A4" s="3" t="inlineStr">
        <is>
          <t>Code</t>
        </is>
      </c>
      <c r="B4" s="3" t="inlineStr">
        <is>
          <t>Name</t>
        </is>
      </c>
      <c r="C4" s="3" t="inlineStr">
        <is>
          <t>Set</t>
        </is>
      </c>
      <c r="D4" s="3" t="inlineStr">
        <is>
          <t>Datei-Slug</t>
        </is>
      </c>
      <c r="E4" s="3" t="inlineStr">
        <is>
          <t>Montageklasse</t>
        </is>
      </c>
      <c r="F4" s="3" t="inlineStr">
        <is>
          <t>Gewicht</t>
        </is>
      </c>
      <c r="G4" s="3" t="inlineStr">
        <is>
          <t>Energiebedarf</t>
        </is>
      </c>
      <c r="H4" s="3" t="inlineStr">
        <is>
          <t>ATK</t>
        </is>
      </c>
      <c r="I4" s="3" t="inlineStr">
        <is>
          <t>DEF</t>
        </is>
      </c>
      <c r="J4" s="3" t="inlineStr">
        <is>
          <t>Aktion</t>
        </is>
      </c>
      <c r="K4" s="3" t="inlineStr">
        <is>
          <t>Zielung</t>
        </is>
      </c>
      <c r="L4" s="3" t="inlineStr">
        <is>
          <t>Power</t>
        </is>
      </c>
      <c r="M4" s="3" t="inlineStr">
        <is>
          <t>Reichweite</t>
        </is>
      </c>
      <c r="N4" s="3" t="inlineStr">
        <is>
          <t>AoE</t>
        </is>
      </c>
      <c r="O4" s="3" t="inlineStr">
        <is>
          <t>EN-Kosten</t>
        </is>
      </c>
      <c r="P4" s="3" t="inlineStr">
        <is>
          <t>Sichtlinie</t>
        </is>
      </c>
      <c r="Q4" s="3" t="inlineStr">
        <is>
          <t>Schub</t>
        </is>
      </c>
      <c r="R4" s="3" t="inlineStr">
        <is>
          <t>Power je EN</t>
        </is>
      </c>
      <c r="S4" s="3" t="inlineStr">
        <is>
          <t>Power je Gewicht</t>
        </is>
      </c>
      <c r="T4" s="3" t="inlineStr">
        <is>
          <t>Threat als staerkste Waffe</t>
        </is>
      </c>
      <c r="U4" s="3" t="inlineStr">
        <is>
          <t>Threat-Beitrag</t>
        </is>
      </c>
      <c r="V4" s="3" t="inlineStr">
        <is>
          <t>Silhouetten-Merkmal</t>
        </is>
      </c>
      <c r="W4" s="3" t="inlineStr">
        <is>
          <t>sagt dem Spieler</t>
        </is>
      </c>
      <c r="X4" s="3" t="inlineStr">
        <is>
          <t>Tags</t>
        </is>
      </c>
    </row>
    <row r="5" ht="30" customHeight="1">
      <c r="A5" s="12" t="inlineStr">
        <is>
          <t>EQP-001</t>
        </is>
      </c>
      <c r="B5" s="7" t="inlineStr">
        <is>
          <t>Puls-Blaster</t>
        </is>
      </c>
      <c r="C5" s="7" t="inlineStr">
        <is>
          <t>RX-Vireo // Scout</t>
        </is>
      </c>
      <c r="D5" s="7" t="inlineStr">
        <is>
          <t>eq_pulse_blaster</t>
        </is>
      </c>
      <c r="E5" s="7" t="inlineStr">
        <is>
          <t>leicht</t>
        </is>
      </c>
      <c r="F5" s="17" t="n">
        <v>5</v>
      </c>
      <c r="G5" s="17" t="n">
        <v>3</v>
      </c>
      <c r="H5" s="17" t="n">
        <v>0</v>
      </c>
      <c r="I5" s="17" t="n">
        <v>0</v>
      </c>
      <c r="J5" s="7" t="inlineStr">
        <is>
          <t>Puls-Salve</t>
        </is>
      </c>
      <c r="K5" s="7" t="inlineStr">
        <is>
          <t>Einzelziel</t>
        </is>
      </c>
      <c r="L5" s="17" t="n">
        <v>12</v>
      </c>
      <c r="M5" s="17" t="n">
        <v>4</v>
      </c>
      <c r="N5" s="17" t="n">
        <v>0</v>
      </c>
      <c r="O5" s="17" t="n">
        <v>0</v>
      </c>
      <c r="P5" s="7" t="inlineStr">
        <is>
          <t>ja</t>
        </is>
      </c>
      <c r="Q5" s="17" t="n">
        <v>0</v>
      </c>
      <c r="R5" s="14">
        <f>IF(O5=0,"kostenlos",ROUND(L5/O5,1))</f>
        <v/>
      </c>
      <c r="S5" s="18">
        <f>ROUND(L5/F5,1)</f>
        <v/>
      </c>
      <c r="T5" s="18">
        <f>L5*2</f>
        <v/>
      </c>
      <c r="U5" s="18">
        <f>H5*6+I5*8</f>
        <v/>
      </c>
      <c r="V5" s="9" t="inlineStr">
        <is>
          <t>ein glattes Rohr, sonst nichts</t>
        </is>
      </c>
      <c r="W5" s="9" t="inlineStr">
        <is>
          <t>leicht, kurze Reichweite</t>
        </is>
      </c>
      <c r="X5" s="7" t="inlineStr">
        <is>
          <t>weapon, ranged</t>
        </is>
      </c>
    </row>
    <row r="6" ht="30" customHeight="1">
      <c r="A6" s="12" t="inlineStr">
        <is>
          <t>EQP-003</t>
        </is>
      </c>
      <c r="B6" s="7" t="inlineStr">
        <is>
          <t>Belagerungskanone</t>
        </is>
      </c>
      <c r="C6" s="7" t="inlineStr">
        <is>
          <t>HX-Molok // Juggernaut</t>
        </is>
      </c>
      <c r="D6" s="7" t="inlineStr">
        <is>
          <t>eq_siege_cannon</t>
        </is>
      </c>
      <c r="E6" s="7" t="inlineStr">
        <is>
          <t>schwer</t>
        </is>
      </c>
      <c r="F6" s="17" t="n">
        <v>8</v>
      </c>
      <c r="G6" s="17" t="n">
        <v>5</v>
      </c>
      <c r="H6" s="17" t="n">
        <v>0</v>
      </c>
      <c r="I6" s="17" t="n">
        <v>0</v>
      </c>
      <c r="J6" s="7" t="inlineStr">
        <is>
          <t>Belagerungsschlag</t>
        </is>
      </c>
      <c r="K6" s="7" t="inlineStr">
        <is>
          <t>Flaeche um das Ziel</t>
        </is>
      </c>
      <c r="L6" s="17" t="n">
        <v>18</v>
      </c>
      <c r="M6" s="17" t="n">
        <v>6</v>
      </c>
      <c r="N6" s="17" t="n">
        <v>1</v>
      </c>
      <c r="O6" s="17" t="n">
        <v>5</v>
      </c>
      <c r="P6" s="7" t="inlineStr">
        <is>
          <t>ja</t>
        </is>
      </c>
      <c r="Q6" s="17" t="n">
        <v>0</v>
      </c>
      <c r="R6" s="14">
        <f>IF(O6=0,"kostenlos",ROUND(L6/O6,1))</f>
        <v/>
      </c>
      <c r="S6" s="18">
        <f>ROUND(L6/F6,1)</f>
        <v/>
      </c>
      <c r="T6" s="18">
        <f>L6*2</f>
        <v/>
      </c>
      <c r="U6" s="18">
        <f>H6*6+I6*8</f>
        <v/>
      </c>
      <c r="V6" s="9" t="inlineStr">
        <is>
          <t>Muendungsbremse mit Querfluegeln, Trommelmagazin, Abstuetzstrebe</t>
        </is>
      </c>
      <c r="W6" s="9" t="inlineStr">
        <is>
          <t>schwer, abgestuetzt -- Artillerie</t>
        </is>
      </c>
      <c r="X6" s="7" t="inlineStr">
        <is>
          <t>weapon, heavy</t>
        </is>
      </c>
    </row>
    <row r="7" ht="30" customHeight="1">
      <c r="A7" s="12" t="inlineStr">
        <is>
          <t>EQP-005</t>
        </is>
      </c>
      <c r="B7" s="7" t="inlineStr">
        <is>
          <t>Runenstab</t>
        </is>
      </c>
      <c r="C7" s="7" t="inlineStr">
        <is>
          <t>AR-Nimbus // Technomant</t>
        </is>
      </c>
      <c r="D7" s="7" t="inlineStr">
        <is>
          <t>eq_rune_staff</t>
        </is>
      </c>
      <c r="E7" s="7" t="inlineStr">
        <is>
          <t>leicht</t>
        </is>
      </c>
      <c r="F7" s="17" t="n">
        <v>4</v>
      </c>
      <c r="G7" s="17" t="n">
        <v>2</v>
      </c>
      <c r="H7" s="17" t="n">
        <v>0</v>
      </c>
      <c r="I7" s="17" t="n">
        <v>0</v>
      </c>
      <c r="J7" s="7" t="inlineStr">
        <is>
          <t>Runenschlag</t>
        </is>
      </c>
      <c r="K7" s="7" t="inlineStr">
        <is>
          <t>Einzelziel</t>
        </is>
      </c>
      <c r="L7" s="17" t="n">
        <v>18</v>
      </c>
      <c r="M7" s="17" t="n">
        <v>1</v>
      </c>
      <c r="N7" s="17" t="n">
        <v>0</v>
      </c>
      <c r="O7" s="17" t="n">
        <v>0</v>
      </c>
      <c r="P7" s="7" t="inlineStr">
        <is>
          <t>–</t>
        </is>
      </c>
      <c r="Q7" s="17" t="n">
        <v>0</v>
      </c>
      <c r="R7" s="14">
        <f>IF(O7=0,"kostenlos",ROUND(L7/O7,1))</f>
        <v/>
      </c>
      <c r="S7" s="18">
        <f>ROUND(L7/F7,1)</f>
        <v/>
      </c>
      <c r="T7" s="18">
        <f>L7*2</f>
        <v/>
      </c>
      <c r="U7" s="18">
        <f>H7*6+I7*8</f>
        <v/>
      </c>
      <c r="V7" s="9" t="inlineStr">
        <is>
          <t>langer duenner Stab mit Kopfglut</t>
        </is>
      </c>
      <c r="W7" s="9" t="inlineStr">
        <is>
          <t>arkane Waffe</t>
        </is>
      </c>
      <c r="X7" s="7" t="inlineStr">
        <is>
          <t>weapon, arcane, round</t>
        </is>
      </c>
    </row>
    <row r="8" ht="30" customHeight="1">
      <c r="A8" s="12" t="inlineStr">
        <is>
          <t>EQP-007</t>
        </is>
      </c>
      <c r="B8" s="7" t="inlineStr">
        <is>
          <t>Schienen-Lanze</t>
        </is>
      </c>
      <c r="C8" s="7" t="inlineStr">
        <is>
          <t>LR-Strix // Marksman</t>
        </is>
      </c>
      <c r="D8" s="7" t="inlineStr">
        <is>
          <t>eq_rail_lance</t>
        </is>
      </c>
      <c r="E8" s="7" t="inlineStr">
        <is>
          <t>schwer</t>
        </is>
      </c>
      <c r="F8" s="17" t="n">
        <v>8</v>
      </c>
      <c r="G8" s="17" t="n">
        <v>5</v>
      </c>
      <c r="H8" s="17" t="n">
        <v>0</v>
      </c>
      <c r="I8" s="17" t="n">
        <v>0</v>
      </c>
      <c r="J8" s="7" t="inlineStr">
        <is>
          <t>Schienenschuss</t>
        </is>
      </c>
      <c r="K8" s="7" t="inlineStr">
        <is>
          <t>Einzelziel</t>
        </is>
      </c>
      <c r="L8" s="17" t="n">
        <v>16</v>
      </c>
      <c r="M8" s="17" t="n">
        <v>7</v>
      </c>
      <c r="N8" s="17" t="n">
        <v>0</v>
      </c>
      <c r="O8" s="17" t="n">
        <v>6</v>
      </c>
      <c r="P8" s="7" t="inlineStr">
        <is>
          <t>ja</t>
        </is>
      </c>
      <c r="Q8" s="17" t="n">
        <v>0</v>
      </c>
      <c r="R8" s="14">
        <f>IF(O8=0,"kostenlos",ROUND(L8/O8,1))</f>
        <v/>
      </c>
      <c r="S8" s="18">
        <f>ROUND(L8/F8,1)</f>
        <v/>
      </c>
      <c r="T8" s="18">
        <f>L8*2</f>
        <v/>
      </c>
      <c r="U8" s="18">
        <f>H8*6+I8*8</f>
        <v/>
      </c>
      <c r="V8" s="9" t="inlineStr">
        <is>
          <t>ueberlanger duenner Doppellauf, Zielblock, Gabel</t>
        </is>
      </c>
      <c r="W8" s="9" t="inlineStr">
        <is>
          <t>Praezision, grosse Reichweite</t>
        </is>
      </c>
      <c r="X8" s="7" t="inlineStr">
        <is>
          <t>weapon, heavy, sniper</t>
        </is>
      </c>
    </row>
    <row r="10">
      <c r="A10" s="19" t="inlineStr">
        <is>
          <t>Minimum</t>
        </is>
      </c>
      <c r="B10" s="2" t="inlineStr">
        <is>
          <t>Kennzahlen ueber die Zeilen darueber -- Formeln, keine festen Zahlen</t>
        </is>
      </c>
      <c r="F10" s="20">
        <f>MIN(F5:F8)</f>
        <v/>
      </c>
      <c r="G10" s="20">
        <f>MIN(G5:G8)</f>
        <v/>
      </c>
      <c r="H10" s="20">
        <f>MIN(H5:H8)</f>
        <v/>
      </c>
      <c r="I10" s="20">
        <f>MIN(I5:I8)</f>
        <v/>
      </c>
      <c r="L10" s="20">
        <f>MIN(L5:L8)</f>
        <v/>
      </c>
      <c r="M10" s="20">
        <f>MIN(M5:M8)</f>
        <v/>
      </c>
      <c r="N10" s="20">
        <f>MIN(N5:N8)</f>
        <v/>
      </c>
      <c r="O10" s="20">
        <f>MIN(O5:O8)</f>
        <v/>
      </c>
      <c r="S10" s="21">
        <f>MIN(S5:S8)</f>
        <v/>
      </c>
      <c r="T10" s="21">
        <f>MIN(T5:T8)</f>
        <v/>
      </c>
      <c r="U10" s="21">
        <f>MIN(U5:U8)</f>
        <v/>
      </c>
    </row>
    <row r="11">
      <c r="A11" s="19" t="inlineStr">
        <is>
          <t>Mittel</t>
        </is>
      </c>
      <c r="F11" s="21">
        <f>AVERAGE(F5:F8)</f>
        <v/>
      </c>
      <c r="G11" s="21">
        <f>AVERAGE(G5:G8)</f>
        <v/>
      </c>
      <c r="H11" s="21">
        <f>AVERAGE(H5:H8)</f>
        <v/>
      </c>
      <c r="I11" s="21">
        <f>AVERAGE(I5:I8)</f>
        <v/>
      </c>
      <c r="L11" s="21">
        <f>AVERAGE(L5:L8)</f>
        <v/>
      </c>
      <c r="M11" s="21">
        <f>AVERAGE(M5:M8)</f>
        <v/>
      </c>
      <c r="N11" s="21">
        <f>AVERAGE(N5:N8)</f>
        <v/>
      </c>
      <c r="O11" s="21">
        <f>AVERAGE(O5:O8)</f>
        <v/>
      </c>
      <c r="S11" s="21">
        <f>AVERAGE(S5:S8)</f>
        <v/>
      </c>
      <c r="T11" s="21">
        <f>AVERAGE(T5:T8)</f>
        <v/>
      </c>
      <c r="U11" s="21">
        <f>AVERAGE(U5:U8)</f>
        <v/>
      </c>
    </row>
    <row r="12">
      <c r="A12" s="19" t="inlineStr">
        <is>
          <t>Maximum</t>
        </is>
      </c>
      <c r="F12" s="20">
        <f>MAX(F5:F8)</f>
        <v/>
      </c>
      <c r="G12" s="20">
        <f>MAX(G5:G8)</f>
        <v/>
      </c>
      <c r="H12" s="20">
        <f>MAX(H5:H8)</f>
        <v/>
      </c>
      <c r="I12" s="20">
        <f>MAX(I5:I8)</f>
        <v/>
      </c>
      <c r="L12" s="20">
        <f>MAX(L5:L8)</f>
        <v/>
      </c>
      <c r="M12" s="20">
        <f>MAX(M5:M8)</f>
        <v/>
      </c>
      <c r="N12" s="20">
        <f>MAX(N5:N8)</f>
        <v/>
      </c>
      <c r="O12" s="20">
        <f>MAX(O5:O8)</f>
        <v/>
      </c>
      <c r="S12" s="21">
        <f>MAX(S5:S8)</f>
        <v/>
      </c>
      <c r="T12" s="21">
        <f>MAX(T5:T8)</f>
        <v/>
      </c>
      <c r="U12" s="21">
        <f>MAX(U5:U8)</f>
        <v/>
      </c>
    </row>
  </sheetData>
  <autoFilter ref="A4:X8"/>
  <conditionalFormatting sqref="U5:U8">
    <cfRule type="dataBar" priority="1">
      <dataBar>
        <cfvo type="min"/>
        <cfvo type="max"/>
        <color rgb="00638EC6"/>
      </dataBar>
    </cfRule>
  </conditionalFormatting>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W11"/>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0" customWidth="1" min="1" max="1"/>
    <col width="22" customWidth="1" min="2" max="2"/>
    <col width="24" customWidth="1" min="3" max="3"/>
    <col width="16" customWidth="1" min="4" max="4"/>
    <col width="10" customWidth="1" min="5" max="5"/>
    <col width="12" customWidth="1" min="6" max="6"/>
    <col width="9" customWidth="1" min="7" max="7"/>
    <col width="12" customWidth="1" min="8" max="8"/>
    <col width="9" customWidth="1" min="9" max="9"/>
    <col width="9" customWidth="1" min="10" max="10"/>
    <col width="20" customWidth="1" min="11" max="11"/>
    <col width="16" customWidth="1" min="12" max="12"/>
    <col width="10" customWidth="1" min="13" max="13"/>
    <col width="11" customWidth="1" min="14" max="14"/>
    <col width="8" customWidth="1" min="15" max="15"/>
    <col width="10" customWidth="1" min="16" max="16"/>
    <col width="10" customWidth="1" min="17" max="17"/>
    <col width="8" customWidth="1" min="18" max="18"/>
    <col width="16" customWidth="1" min="19" max="19"/>
    <col width="13" customWidth="1" min="20" max="20"/>
    <col width="40" customWidth="1" min="21" max="21"/>
    <col width="30" customWidth="1" min="22" max="22"/>
    <col width="24" customWidth="1" min="23" max="23"/>
  </cols>
  <sheetData>
    <row r="1">
      <c r="A1" s="1" t="inlineStr">
        <is>
          <t>Ausruestung -- Schild und Support</t>
        </is>
      </c>
    </row>
    <row r="2">
      <c r="A2" s="2" t="inlineStr">
        <is>
          <t>Alles, was keine Waffe ist. Der Deflektor ist rein passiv (DEF, keine Aktion); die Support-Module gewaehren stattdessen eine Faehigkeit. Negative Power heisst Heilung -- ein Vorzeichen statt zweier Felder.</t>
        </is>
      </c>
    </row>
    <row r="4" ht="30" customHeight="1">
      <c r="A4" s="3" t="inlineStr">
        <is>
          <t>Code</t>
        </is>
      </c>
      <c r="B4" s="3" t="inlineStr">
        <is>
          <t>Name</t>
        </is>
      </c>
      <c r="C4" s="3" t="inlineStr">
        <is>
          <t>Set</t>
        </is>
      </c>
      <c r="D4" s="3" t="inlineStr">
        <is>
          <t>Datei-Slug</t>
        </is>
      </c>
      <c r="E4" s="3" t="inlineStr">
        <is>
          <t>Bauart</t>
        </is>
      </c>
      <c r="F4" s="3" t="inlineStr">
        <is>
          <t>Montageklasse</t>
        </is>
      </c>
      <c r="G4" s="3" t="inlineStr">
        <is>
          <t>Gewicht</t>
        </is>
      </c>
      <c r="H4" s="3" t="inlineStr">
        <is>
          <t>Energiebedarf</t>
        </is>
      </c>
      <c r="I4" s="3" t="inlineStr">
        <is>
          <t>ATK</t>
        </is>
      </c>
      <c r="J4" s="3" t="inlineStr">
        <is>
          <t>DEF</t>
        </is>
      </c>
      <c r="K4" s="3" t="inlineStr">
        <is>
          <t>Aktion</t>
        </is>
      </c>
      <c r="L4" s="3" t="inlineStr">
        <is>
          <t>Zielung</t>
        </is>
      </c>
      <c r="M4" s="3" t="inlineStr">
        <is>
          <t>Power</t>
        </is>
      </c>
      <c r="N4" s="3" t="inlineStr">
        <is>
          <t>Reichweite</t>
        </is>
      </c>
      <c r="O4" s="3" t="inlineStr">
        <is>
          <t>AoE</t>
        </is>
      </c>
      <c r="P4" s="3" t="inlineStr">
        <is>
          <t>EN-Kosten</t>
        </is>
      </c>
      <c r="Q4" s="3" t="inlineStr">
        <is>
          <t>Sichtlinie</t>
        </is>
      </c>
      <c r="R4" s="3" t="inlineStr">
        <is>
          <t>Schub</t>
        </is>
      </c>
      <c r="S4" s="3" t="inlineStr">
        <is>
          <t>Wirkung</t>
        </is>
      </c>
      <c r="T4" s="3" t="inlineStr">
        <is>
          <t>Threat-Beitrag</t>
        </is>
      </c>
      <c r="U4" s="3" t="inlineStr">
        <is>
          <t>Silhouetten-Merkmal</t>
        </is>
      </c>
      <c r="V4" s="3" t="inlineStr">
        <is>
          <t>sagt dem Spieler</t>
        </is>
      </c>
      <c r="W4" s="3" t="inlineStr">
        <is>
          <t>Tags</t>
        </is>
      </c>
    </row>
    <row r="5" ht="30" customHeight="1">
      <c r="A5" s="12" t="inlineStr">
        <is>
          <t>EQP-002</t>
        </is>
      </c>
      <c r="B5" s="7" t="inlineStr">
        <is>
          <t>Deflektor-Schild</t>
        </is>
      </c>
      <c r="C5" s="7" t="inlineStr">
        <is>
          <t>RX-Vireo // Scout</t>
        </is>
      </c>
      <c r="D5" s="7" t="inlineStr">
        <is>
          <t>eq_deflector</t>
        </is>
      </c>
      <c r="E5" s="7" t="inlineStr">
        <is>
          <t>Schild</t>
        </is>
      </c>
      <c r="F5" s="7" t="inlineStr">
        <is>
          <t>mittel</t>
        </is>
      </c>
      <c r="G5" s="17" t="n">
        <v>4</v>
      </c>
      <c r="H5" s="17" t="n">
        <v>2</v>
      </c>
      <c r="I5" s="17" t="n">
        <v>0</v>
      </c>
      <c r="J5" s="17" t="n">
        <v>5</v>
      </c>
      <c r="K5" s="7" t="inlineStr">
        <is>
          <t>—</t>
        </is>
      </c>
      <c r="L5" s="7" t="inlineStr"/>
      <c r="M5" s="17" t="n"/>
      <c r="N5" s="17" t="n"/>
      <c r="O5" s="17" t="n"/>
      <c r="P5" s="17" t="n"/>
      <c r="Q5" s="7" t="n"/>
      <c r="R5" s="17" t="n"/>
      <c r="S5" s="14">
        <f>IF(K5="—","passiv",IF(M5&lt;0,"Heilung "&amp;ABS(M5),IF(M5=0,"kein Schaden","Schaden "&amp;M5)))</f>
        <v/>
      </c>
      <c r="T5" s="18">
        <f>I5*6+J5*8</f>
        <v/>
      </c>
      <c r="U5" s="9" t="inlineStr">
        <is>
          <t>flache Wand quer zur Blickrichtung</t>
        </is>
      </c>
      <c r="V5" s="9" t="inlineStr">
        <is>
          <t>Deckung</t>
        </is>
      </c>
      <c r="W5" s="7" t="inlineStr">
        <is>
          <t>defense</t>
        </is>
      </c>
    </row>
    <row r="6" ht="30" customHeight="1">
      <c r="A6" s="12" t="inlineStr">
        <is>
          <t>EQP-004</t>
        </is>
      </c>
      <c r="B6" s="7" t="inlineStr">
        <is>
          <t>Drohnen-Pod</t>
        </is>
      </c>
      <c r="C6" s="7" t="inlineStr">
        <is>
          <t>HX-Molok // Juggernaut</t>
        </is>
      </c>
      <c r="D6" s="7" t="inlineStr">
        <is>
          <t>eq_drone_pod</t>
        </is>
      </c>
      <c r="E6" s="7" t="inlineStr">
        <is>
          <t>Support</t>
        </is>
      </c>
      <c r="F6" s="7" t="inlineStr">
        <is>
          <t>leicht</t>
        </is>
      </c>
      <c r="G6" s="17" t="n">
        <v>3</v>
      </c>
      <c r="H6" s="17" t="n">
        <v>4</v>
      </c>
      <c r="I6" s="17" t="n">
        <v>0</v>
      </c>
      <c r="J6" s="17" t="n">
        <v>0</v>
      </c>
      <c r="K6" s="7" t="inlineStr">
        <is>
          <t>Reparaturdrohnen</t>
        </is>
      </c>
      <c r="L6" s="7" t="inlineStr">
        <is>
          <t>Flaeche um das Ziel</t>
        </is>
      </c>
      <c r="M6" s="17" t="n">
        <v>-10</v>
      </c>
      <c r="N6" s="17" t="n">
        <v>3</v>
      </c>
      <c r="O6" s="17" t="n">
        <v>1</v>
      </c>
      <c r="P6" s="17" t="n">
        <v>12</v>
      </c>
      <c r="Q6" s="7" t="inlineStr">
        <is>
          <t>ja</t>
        </is>
      </c>
      <c r="R6" s="17" t="n">
        <v>0</v>
      </c>
      <c r="S6" s="14">
        <f>IF(K6="—","passiv",IF(M6&lt;0,"Heilung "&amp;ABS(M6),IF(M6=0,"kein Schaden","Schaden "&amp;M6)))</f>
        <v/>
      </c>
      <c r="T6" s="18">
        <f>I6*6+J6*8</f>
        <v/>
      </c>
      <c r="U6" s="9" t="inlineStr">
        <is>
          <t>flacher Pod auf der Schulterbruecke</t>
        </is>
      </c>
      <c r="V6" s="9" t="inlineStr">
        <is>
          <t>Support, keine Waffe</t>
        </is>
      </c>
      <c r="W6" s="7" t="inlineStr">
        <is>
          <t>support, shoulder</t>
        </is>
      </c>
    </row>
    <row r="7" ht="30" customHeight="1">
      <c r="A7" s="12" t="inlineStr">
        <is>
          <t>EQP-006</t>
        </is>
      </c>
      <c r="B7" s="7" t="inlineStr">
        <is>
          <t>Orbit-Fokus</t>
        </is>
      </c>
      <c r="C7" s="7" t="inlineStr">
        <is>
          <t>AR-Nimbus // Technomant</t>
        </is>
      </c>
      <c r="D7" s="7" t="inlineStr">
        <is>
          <t>eq_orbit_focus</t>
        </is>
      </c>
      <c r="E7" s="7" t="inlineStr">
        <is>
          <t>Support</t>
        </is>
      </c>
      <c r="F7" s="7" t="inlineStr">
        <is>
          <t>leicht</t>
        </is>
      </c>
      <c r="G7" s="17" t="n">
        <v>3</v>
      </c>
      <c r="H7" s="17" t="n">
        <v>3</v>
      </c>
      <c r="I7" s="17" t="n">
        <v>1</v>
      </c>
      <c r="J7" s="17" t="n">
        <v>0</v>
      </c>
      <c r="K7" s="7" t="inlineStr">
        <is>
          <t>Orbit-Sog</t>
        </is>
      </c>
      <c r="L7" s="7" t="inlineStr">
        <is>
          <t>Einzelziel</t>
        </is>
      </c>
      <c r="M7" s="17" t="n">
        <v>0</v>
      </c>
      <c r="N7" s="17" t="n">
        <v>4</v>
      </c>
      <c r="O7" s="17" t="n">
        <v>0</v>
      </c>
      <c r="P7" s="17" t="n">
        <v>8</v>
      </c>
      <c r="Q7" s="7" t="inlineStr">
        <is>
          <t>ja</t>
        </is>
      </c>
      <c r="R7" s="17" t="n">
        <v>-2</v>
      </c>
      <c r="S7" s="14">
        <f>IF(K7="—","passiv",IF(M7&lt;0,"Heilung "&amp;ABS(M7),IF(M7=0,"kein Schaden","Schaden "&amp;M7)))</f>
        <v/>
      </c>
      <c r="T7" s="18">
        <f>I7*6+J7*8</f>
        <v/>
      </c>
      <c r="U7" s="9" t="inlineStr">
        <is>
          <t>schwebender Ring vor der Hand</t>
        </is>
      </c>
      <c r="V7" s="9" t="inlineStr">
        <is>
          <t>Support, arkan</t>
        </is>
      </c>
      <c r="W7" s="7" t="inlineStr">
        <is>
          <t>support, arcane, round</t>
        </is>
      </c>
    </row>
    <row r="9">
      <c r="A9" s="19" t="inlineStr">
        <is>
          <t>Minimum</t>
        </is>
      </c>
      <c r="B9" s="2" t="inlineStr">
        <is>
          <t>Kennzahlen ueber die Zeilen darueber -- Formeln, keine festen Zahlen</t>
        </is>
      </c>
      <c r="G9" s="20">
        <f>MIN(G5:G7)</f>
        <v/>
      </c>
      <c r="H9" s="20">
        <f>MIN(H5:H7)</f>
        <v/>
      </c>
      <c r="I9" s="20">
        <f>MIN(I5:I7)</f>
        <v/>
      </c>
      <c r="J9" s="20">
        <f>MIN(J5:J7)</f>
        <v/>
      </c>
      <c r="M9" s="20">
        <f>MIN(M5:M7)</f>
        <v/>
      </c>
      <c r="N9" s="20">
        <f>MIN(N5:N7)</f>
        <v/>
      </c>
      <c r="O9" s="20">
        <f>MIN(O5:O7)</f>
        <v/>
      </c>
      <c r="P9" s="20">
        <f>MIN(P5:P7)</f>
        <v/>
      </c>
      <c r="T9" s="21">
        <f>MIN(T5:T7)</f>
        <v/>
      </c>
    </row>
    <row r="10">
      <c r="A10" s="19" t="inlineStr">
        <is>
          <t>Mittel</t>
        </is>
      </c>
      <c r="G10" s="21">
        <f>AVERAGE(G5:G7)</f>
        <v/>
      </c>
      <c r="H10" s="21">
        <f>AVERAGE(H5:H7)</f>
        <v/>
      </c>
      <c r="I10" s="21">
        <f>AVERAGE(I5:I7)</f>
        <v/>
      </c>
      <c r="J10" s="21">
        <f>AVERAGE(J5:J7)</f>
        <v/>
      </c>
      <c r="M10" s="21">
        <f>AVERAGE(M5:M7)</f>
        <v/>
      </c>
      <c r="N10" s="21">
        <f>AVERAGE(N5:N7)</f>
        <v/>
      </c>
      <c r="O10" s="21">
        <f>AVERAGE(O5:O7)</f>
        <v/>
      </c>
      <c r="P10" s="21">
        <f>AVERAGE(P5:P7)</f>
        <v/>
      </c>
      <c r="T10" s="21">
        <f>AVERAGE(T5:T7)</f>
        <v/>
      </c>
    </row>
    <row r="11">
      <c r="A11" s="19" t="inlineStr">
        <is>
          <t>Maximum</t>
        </is>
      </c>
      <c r="G11" s="20">
        <f>MAX(G5:G7)</f>
        <v/>
      </c>
      <c r="H11" s="20">
        <f>MAX(H5:H7)</f>
        <v/>
      </c>
      <c r="I11" s="20">
        <f>MAX(I5:I7)</f>
        <v/>
      </c>
      <c r="J11" s="20">
        <f>MAX(J5:J7)</f>
        <v/>
      </c>
      <c r="M11" s="20">
        <f>MAX(M5:M7)</f>
        <v/>
      </c>
      <c r="N11" s="20">
        <f>MAX(N5:N7)</f>
        <v/>
      </c>
      <c r="O11" s="20">
        <f>MAX(O5:O7)</f>
        <v/>
      </c>
      <c r="P11" s="20">
        <f>MAX(P5:P7)</f>
        <v/>
      </c>
      <c r="T11" s="21">
        <f>MAX(T5:T7)</f>
        <v/>
      </c>
    </row>
  </sheetData>
  <autoFilter ref="A4:W7"/>
  <conditionalFormatting sqref="T5:T7">
    <cfRule type="dataBar" priority="1">
      <dataBar>
        <cfvo type="min"/>
        <cfvo type="max"/>
        <color rgb="00638EC6"/>
      </dataBar>
    </cfRule>
  </conditionalFormatting>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cols>
    <col width="10" customWidth="1" min="1" max="1"/>
    <col width="22" customWidth="1" min="2" max="2"/>
    <col width="24" customWidth="1" min="3" max="3"/>
    <col width="9" customWidth="1" min="4" max="4"/>
    <col width="16" customWidth="1" min="5" max="5"/>
    <col width="22" customWidth="1" min="6" max="6"/>
    <col width="44" customWidth="1" min="7" max="7"/>
  </cols>
  <sheetData>
    <row r="1">
      <c r="A1" s="1" t="inlineStr">
        <is>
          <t>Chassis und ihre Ausruestungsslots</t>
        </is>
      </c>
    </row>
    <row r="2">
      <c r="A2" s="2" t="inlineStr">
        <is>
          <t>Die Zahl der Slots faellt aus den equip_*-Ankern des Chassis, die Regel je Slot aus seinem Feld slot_rules.</t>
        </is>
      </c>
    </row>
    <row r="4" ht="30" customHeight="1">
      <c r="A4" s="3" t="inlineStr">
        <is>
          <t>Code</t>
        </is>
      </c>
      <c r="B4" s="3" t="inlineStr">
        <is>
          <t>Chassis</t>
        </is>
      </c>
      <c r="C4" s="3" t="inlineStr">
        <is>
          <t>Set</t>
        </is>
      </c>
      <c r="D4" s="3" t="inlineStr">
        <is>
          <t>Slots</t>
        </is>
      </c>
      <c r="E4" s="3" t="inlineStr">
        <is>
          <t>Slot</t>
        </is>
      </c>
      <c r="F4" s="3" t="inlineStr">
        <is>
          <t>nimmt an</t>
        </is>
      </c>
      <c r="G4" s="3" t="inlineStr">
        <is>
          <t>Anmerkung</t>
        </is>
      </c>
    </row>
    <row r="5" ht="28" customHeight="1">
      <c r="A5" s="22" t="inlineStr">
        <is>
          <t>CHS-001</t>
        </is>
      </c>
      <c r="B5" s="23" t="inlineStr">
        <is>
          <t>Vireo Chassis</t>
        </is>
      </c>
      <c r="C5" s="23" t="inlineStr">
        <is>
          <t>RX-Vireo // Scout</t>
        </is>
      </c>
      <c r="D5" s="23" t="n">
        <v>2</v>
      </c>
      <c r="E5" s="24" t="inlineStr">
        <is>
          <t>equip_left</t>
        </is>
      </c>
      <c r="F5" s="25" t="inlineStr">
        <is>
          <t>bis mittel</t>
        </is>
      </c>
      <c r="G5" s="9" t="inlineStr">
        <is>
          <t>Sprinter: keine Artillerie an einem Arm, der sechs Felder weit laufen soll.</t>
        </is>
      </c>
    </row>
    <row r="6" ht="28" customHeight="1">
      <c r="A6" s="26" t="n"/>
      <c r="B6" s="26" t="n"/>
      <c r="C6" s="26" t="n"/>
      <c r="D6" s="26" t="n"/>
      <c r="E6" s="24" t="inlineStr">
        <is>
          <t>equip_right</t>
        </is>
      </c>
      <c r="F6" s="25" t="inlineStr">
        <is>
          <t>bis mittel</t>
        </is>
      </c>
      <c r="G6" s="9" t="inlineStr"/>
    </row>
    <row r="7" ht="28" customHeight="1">
      <c r="A7" s="22" t="inlineStr">
        <is>
          <t>CHS-002</t>
        </is>
      </c>
      <c r="B7" s="23" t="inlineStr">
        <is>
          <t>Molok Chassis</t>
        </is>
      </c>
      <c r="C7" s="23" t="inlineStr">
        <is>
          <t>HX-Molok // Juggernaut</t>
        </is>
      </c>
      <c r="D7" s="23" t="n">
        <v>3</v>
      </c>
      <c r="E7" s="24" t="inlineStr">
        <is>
          <t>equip_left</t>
        </is>
      </c>
      <c r="F7" s="25" t="inlineStr">
        <is>
          <t>bis schwer</t>
        </is>
      </c>
      <c r="G7" s="9" t="inlineStr"/>
    </row>
    <row r="8" ht="28" customHeight="1">
      <c r="A8" s="27" t="n"/>
      <c r="B8" s="27" t="n"/>
      <c r="C8" s="27" t="n"/>
      <c r="D8" s="27" t="n"/>
      <c r="E8" s="24" t="inlineStr">
        <is>
          <t>equip_right</t>
        </is>
      </c>
      <c r="F8" s="25" t="inlineStr">
        <is>
          <t>bis schwer</t>
        </is>
      </c>
      <c r="G8" s="9" t="inlineStr"/>
    </row>
    <row r="9" ht="28" customHeight="1">
      <c r="A9" s="26" t="n"/>
      <c r="B9" s="26" t="n"/>
      <c r="C9" s="26" t="n"/>
      <c r="D9" s="26" t="n"/>
      <c r="E9" s="24" t="inlineStr">
        <is>
          <t>equip_shoulder</t>
        </is>
      </c>
      <c r="F9" s="25" t="inlineStr">
        <is>
          <t>bis leicht · nur Support</t>
        </is>
      </c>
      <c r="G9" s="9" t="inlineStr">
        <is>
          <t>Bruecke hinter dem Kopf: kein Gegenhalt, keine Hand. Sensorik und Drohnen ja, Schild oder schweres Geraet nein.</t>
        </is>
      </c>
    </row>
    <row r="10" ht="28" customHeight="1">
      <c r="A10" s="22" t="inlineStr">
        <is>
          <t>CHS-003</t>
        </is>
      </c>
      <c r="B10" s="23" t="inlineStr">
        <is>
          <t>Nimbus Chassis</t>
        </is>
      </c>
      <c r="C10" s="23" t="inlineStr">
        <is>
          <t>AR-Nimbus // Technomant</t>
        </is>
      </c>
      <c r="D10" s="23" t="n">
        <v>2</v>
      </c>
      <c r="E10" s="24" t="inlineStr">
        <is>
          <t>equip_left</t>
        </is>
      </c>
      <c r="F10" s="25" t="inlineStr">
        <is>
          <t>bis mittel</t>
        </is>
      </c>
      <c r="G10" s="9" t="inlineStr"/>
    </row>
    <row r="11" ht="28" customHeight="1">
      <c r="A11" s="26" t="n"/>
      <c r="B11" s="26" t="n"/>
      <c r="C11" s="26" t="n"/>
      <c r="D11" s="26" t="n"/>
      <c r="E11" s="24" t="inlineStr">
        <is>
          <t>equip_right</t>
        </is>
      </c>
      <c r="F11" s="25" t="inlineStr">
        <is>
          <t>bis mittel</t>
        </is>
      </c>
      <c r="G11" s="9" t="inlineStr"/>
    </row>
    <row r="12" ht="28" customHeight="1">
      <c r="A12" s="25" t="inlineStr">
        <is>
          <t>CHS-004</t>
        </is>
      </c>
      <c r="B12" s="24" t="inlineStr">
        <is>
          <t>Strix Chassis</t>
        </is>
      </c>
      <c r="C12" s="24" t="inlineStr">
        <is>
          <t>LR-Strix // Marksman</t>
        </is>
      </c>
      <c r="D12" s="24" t="n">
        <v>1</v>
      </c>
      <c r="E12" s="24" t="inlineStr">
        <is>
          <t>equip_center</t>
        </is>
      </c>
      <c r="F12" s="25" t="inlineStr">
        <is>
          <t>bis schwer</t>
        </is>
      </c>
      <c r="G12" s="9" t="inlineStr">
        <is>
          <t>Der einzige Slot -- dafuer ohne Obergrenze. Ein Slot weniger als der Standard, dafuer die schwerste Waffe.</t>
        </is>
      </c>
    </row>
  </sheetData>
  <mergeCells count="12">
    <mergeCell ref="A5:A6"/>
    <mergeCell ref="C7:C9"/>
    <mergeCell ref="A7:A9"/>
    <mergeCell ref="D10:D11"/>
    <mergeCell ref="D7:D9"/>
    <mergeCell ref="C5:C6"/>
    <mergeCell ref="B7:B9"/>
    <mergeCell ref="B10:B11"/>
    <mergeCell ref="C10:C11"/>
    <mergeCell ref="A10:A11"/>
    <mergeCell ref="B5:B6"/>
    <mergeCell ref="D5:D6"/>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16"/>
  <sheetViews>
    <sheetView workbookViewId="0">
      <pane xSplit="6" ySplit="9" topLeftCell="G10" activePane="bottomRight" state="frozen"/>
      <selection pane="topRight"/>
      <selection pane="bottomLeft"/>
      <selection pane="bottomRight" activeCell="A1" sqref="A1"/>
    </sheetView>
  </sheetViews>
  <sheetFormatPr baseColWidth="8" defaultRowHeight="15"/>
  <cols>
    <col width="10" customWidth="1" min="1" max="1"/>
    <col width="24" customWidth="1" min="2" max="2"/>
    <col width="11" customWidth="1" min="3" max="3"/>
    <col width="7" customWidth="1" min="4" max="4"/>
    <col width="11" customWidth="1" min="5" max="5"/>
    <col width="14"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s>
  <sheetData>
    <row r="1">
      <c r="A1" s="1" t="inlineStr">
        <is>
          <t>Was passt an welchen Slot</t>
        </is>
      </c>
      <c r="B1" s="28" t="inlineStr">
        <is>
          <t>leicht</t>
        </is>
      </c>
      <c r="C1" s="28" t="inlineStr">
        <is>
          <t>mittel</t>
        </is>
      </c>
      <c r="D1" s="28" t="inlineStr">
        <is>
          <t>schwer</t>
        </is>
      </c>
      <c r="E1" s="2" t="inlineStr">
        <is>
          <t>← Rangfolge der Montageklassen, Nachschlagereihe fuer Spalte D</t>
        </is>
      </c>
    </row>
    <row r="2">
      <c r="A2" s="2" t="inlineStr">
        <is>
          <t>Lebende Matrix: die Zellen rechnen aus Klasse und Bauart. Wer in den Spalten C bis F etwas aendert, sieht sofort, was daraus folgt.</t>
        </is>
      </c>
    </row>
    <row r="4" ht="28" customHeight="1">
      <c r="F4" s="29" t="inlineStr">
        <is>
          <t>Chassis</t>
        </is>
      </c>
      <c r="G4" s="30" t="inlineStr">
        <is>
          <t>Vireo Chassis</t>
        </is>
      </c>
      <c r="H4" s="30" t="inlineStr">
        <is>
          <t>Vireo Chassis</t>
        </is>
      </c>
      <c r="I4" s="30" t="inlineStr">
        <is>
          <t>Molok Chassis</t>
        </is>
      </c>
      <c r="J4" s="30" t="inlineStr">
        <is>
          <t>Molok Chassis</t>
        </is>
      </c>
      <c r="K4" s="30" t="inlineStr">
        <is>
          <t>Molok Chassis</t>
        </is>
      </c>
      <c r="L4" s="30" t="inlineStr">
        <is>
          <t>Nimbus Chassis</t>
        </is>
      </c>
      <c r="M4" s="30" t="inlineStr">
        <is>
          <t>Nimbus Chassis</t>
        </is>
      </c>
      <c r="N4" s="30" t="inlineStr">
        <is>
          <t>Strix Chassis</t>
        </is>
      </c>
    </row>
    <row r="5">
      <c r="F5" s="29" t="inlineStr">
        <is>
          <t>Slot</t>
        </is>
      </c>
      <c r="G5" s="31" t="inlineStr">
        <is>
          <t>equip_left</t>
        </is>
      </c>
      <c r="H5" s="31" t="inlineStr">
        <is>
          <t>equip_right</t>
        </is>
      </c>
      <c r="I5" s="31" t="inlineStr">
        <is>
          <t>equip_left</t>
        </is>
      </c>
      <c r="J5" s="31" t="inlineStr">
        <is>
          <t>equip_right</t>
        </is>
      </c>
      <c r="K5" s="31" t="inlineStr">
        <is>
          <t>equip_shoulder</t>
        </is>
      </c>
      <c r="L5" s="31" t="inlineStr">
        <is>
          <t>equip_left</t>
        </is>
      </c>
      <c r="M5" s="31" t="inlineStr">
        <is>
          <t>equip_right</t>
        </is>
      </c>
      <c r="N5" s="31" t="inlineStr">
        <is>
          <t>equip_center</t>
        </is>
      </c>
    </row>
    <row r="6" ht="26" customHeight="1">
      <c r="F6" s="29" t="inlineStr">
        <is>
          <t>nimmt an</t>
        </is>
      </c>
      <c r="G6" s="32" t="inlineStr">
        <is>
          <t>bis mittel</t>
        </is>
      </c>
      <c r="H6" s="32" t="inlineStr">
        <is>
          <t>bis mittel</t>
        </is>
      </c>
      <c r="I6" s="32" t="inlineStr">
        <is>
          <t>bis schwer</t>
        </is>
      </c>
      <c r="J6" s="32" t="inlineStr">
        <is>
          <t>bis schwer</t>
        </is>
      </c>
      <c r="K6" s="32" t="inlineStr">
        <is>
          <t>bis leicht · nur Support</t>
        </is>
      </c>
      <c r="L6" s="32" t="inlineStr">
        <is>
          <t>bis mittel</t>
        </is>
      </c>
      <c r="M6" s="32" t="inlineStr">
        <is>
          <t>bis mittel</t>
        </is>
      </c>
      <c r="N6" s="32" t="inlineStr">
        <is>
          <t>bis schwer</t>
        </is>
      </c>
    </row>
    <row r="7">
      <c r="F7" s="29" t="inlineStr">
        <is>
          <t>Rang (Hilfe)</t>
        </is>
      </c>
      <c r="G7" s="33" t="n">
        <v>2</v>
      </c>
      <c r="H7" s="33" t="n">
        <v>2</v>
      </c>
      <c r="I7" s="33" t="n">
        <v>3</v>
      </c>
      <c r="J7" s="33" t="n">
        <v>3</v>
      </c>
      <c r="K7" s="33" t="n">
        <v>1</v>
      </c>
      <c r="L7" s="33" t="n">
        <v>2</v>
      </c>
      <c r="M7" s="33" t="n">
        <v>2</v>
      </c>
      <c r="N7" s="33" t="n">
        <v>3</v>
      </c>
    </row>
    <row r="8">
      <c r="F8" s="29" t="inlineStr">
        <is>
          <t>Bauarten (Hilfe)</t>
        </is>
      </c>
      <c r="G8" s="33" t="inlineStr">
        <is>
          <t>Waffe,Schild,Support</t>
        </is>
      </c>
      <c r="H8" s="33" t="inlineStr">
        <is>
          <t>Waffe,Schild,Support</t>
        </is>
      </c>
      <c r="I8" s="33" t="inlineStr">
        <is>
          <t>Waffe,Schild,Support</t>
        </is>
      </c>
      <c r="J8" s="33" t="inlineStr">
        <is>
          <t>Waffe,Schild,Support</t>
        </is>
      </c>
      <c r="K8" s="33" t="inlineStr">
        <is>
          <t>Support</t>
        </is>
      </c>
      <c r="L8" s="33" t="inlineStr">
        <is>
          <t>Waffe,Schild,Support</t>
        </is>
      </c>
      <c r="M8" s="33" t="inlineStr">
        <is>
          <t>Waffe,Schild,Support</t>
        </is>
      </c>
      <c r="N8" s="33" t="inlineStr">
        <is>
          <t>Waffe,Schild,Support</t>
        </is>
      </c>
    </row>
    <row r="9" ht="30" customHeight="1">
      <c r="A9" s="3" t="inlineStr">
        <is>
          <t>Code</t>
        </is>
      </c>
      <c r="B9" s="3" t="inlineStr">
        <is>
          <t>Teil</t>
        </is>
      </c>
      <c r="C9" s="3" t="inlineStr">
        <is>
          <t>Klasse</t>
        </is>
      </c>
      <c r="D9" s="3" t="inlineStr">
        <is>
          <t>Rang</t>
        </is>
      </c>
      <c r="E9" s="3" t="inlineStr">
        <is>
          <t>Bauart</t>
        </is>
      </c>
      <c r="F9" s="3" t="inlineStr">
        <is>
          <t>nur an Slot</t>
        </is>
      </c>
      <c r="G9" s="34" t="inlineStr">
        <is>
          <t>left</t>
        </is>
      </c>
      <c r="H9" s="34" t="inlineStr">
        <is>
          <t>right</t>
        </is>
      </c>
      <c r="I9" s="34" t="inlineStr">
        <is>
          <t>left</t>
        </is>
      </c>
      <c r="J9" s="34" t="inlineStr">
        <is>
          <t>right</t>
        </is>
      </c>
      <c r="K9" s="34" t="inlineStr">
        <is>
          <t>shoulder</t>
        </is>
      </c>
      <c r="L9" s="34" t="inlineStr">
        <is>
          <t>left</t>
        </is>
      </c>
      <c r="M9" s="34" t="inlineStr">
        <is>
          <t>right</t>
        </is>
      </c>
      <c r="N9" s="34" t="inlineStr">
        <is>
          <t>center</t>
        </is>
      </c>
    </row>
    <row r="10">
      <c r="A10" s="12" t="inlineStr">
        <is>
          <t>EQP-001</t>
        </is>
      </c>
      <c r="B10" s="7" t="inlineStr">
        <is>
          <t>Puls-Blaster</t>
        </is>
      </c>
      <c r="C10" s="7" t="inlineStr">
        <is>
          <t>leicht</t>
        </is>
      </c>
      <c r="D10" s="35">
        <f>MATCH(C10,$B$1:$D$1,0)</f>
        <v/>
      </c>
      <c r="E10" s="7" t="inlineStr">
        <is>
          <t>Waffe</t>
        </is>
      </c>
      <c r="F10" s="7" t="inlineStr">
        <is>
          <t>alle</t>
        </is>
      </c>
      <c r="G10" s="36">
        <f>IF(AND($D10&lt;=G$7,ISNUMBER(SEARCH($E10,G$8)),OR($F10="alle",ISNUMBER(SEARCH(G$5,$F10)))),"ja","–")</f>
        <v/>
      </c>
      <c r="H10" s="36">
        <f>IF(AND($D10&lt;=H$7,ISNUMBER(SEARCH($E10,H$8)),OR($F10="alle",ISNUMBER(SEARCH(H$5,$F10)))),"ja","–")</f>
        <v/>
      </c>
      <c r="I10" s="36">
        <f>IF(AND($D10&lt;=I$7,ISNUMBER(SEARCH($E10,I$8)),OR($F10="alle",ISNUMBER(SEARCH(I$5,$F10)))),"ja","–")</f>
        <v/>
      </c>
      <c r="J10" s="36">
        <f>IF(AND($D10&lt;=J$7,ISNUMBER(SEARCH($E10,J$8)),OR($F10="alle",ISNUMBER(SEARCH(J$5,$F10)))),"ja","–")</f>
        <v/>
      </c>
      <c r="K10" s="36">
        <f>IF(AND($D10&lt;=K$7,ISNUMBER(SEARCH($E10,K$8)),OR($F10="alle",ISNUMBER(SEARCH(K$5,$F10)))),"ja","–")</f>
        <v/>
      </c>
      <c r="L10" s="36">
        <f>IF(AND($D10&lt;=L$7,ISNUMBER(SEARCH($E10,L$8)),OR($F10="alle",ISNUMBER(SEARCH(L$5,$F10)))),"ja","–")</f>
        <v/>
      </c>
      <c r="M10" s="36">
        <f>IF(AND($D10&lt;=M$7,ISNUMBER(SEARCH($E10,M$8)),OR($F10="alle",ISNUMBER(SEARCH(M$5,$F10)))),"ja","–")</f>
        <v/>
      </c>
      <c r="N10" s="36">
        <f>IF(AND($D10&lt;=N$7,ISNUMBER(SEARCH($E10,N$8)),OR($F10="alle",ISNUMBER(SEARCH(N$5,$F10)))),"ja","–")</f>
        <v/>
      </c>
    </row>
    <row r="11">
      <c r="A11" s="12" t="inlineStr">
        <is>
          <t>EQP-002</t>
        </is>
      </c>
      <c r="B11" s="7" t="inlineStr">
        <is>
          <t>Deflektor-Schild</t>
        </is>
      </c>
      <c r="C11" s="7" t="inlineStr">
        <is>
          <t>mittel</t>
        </is>
      </c>
      <c r="D11" s="35">
        <f>MATCH(C11,$B$1:$D$1,0)</f>
        <v/>
      </c>
      <c r="E11" s="7" t="inlineStr">
        <is>
          <t>Schild</t>
        </is>
      </c>
      <c r="F11" s="7" t="inlineStr">
        <is>
          <t>alle</t>
        </is>
      </c>
      <c r="G11" s="36">
        <f>IF(AND($D11&lt;=G$7,ISNUMBER(SEARCH($E11,G$8)),OR($F11="alle",ISNUMBER(SEARCH(G$5,$F11)))),"ja","–")</f>
        <v/>
      </c>
      <c r="H11" s="36">
        <f>IF(AND($D11&lt;=H$7,ISNUMBER(SEARCH($E11,H$8)),OR($F11="alle",ISNUMBER(SEARCH(H$5,$F11)))),"ja","–")</f>
        <v/>
      </c>
      <c r="I11" s="36">
        <f>IF(AND($D11&lt;=I$7,ISNUMBER(SEARCH($E11,I$8)),OR($F11="alle",ISNUMBER(SEARCH(I$5,$F11)))),"ja","–")</f>
        <v/>
      </c>
      <c r="J11" s="36">
        <f>IF(AND($D11&lt;=J$7,ISNUMBER(SEARCH($E11,J$8)),OR($F11="alle",ISNUMBER(SEARCH(J$5,$F11)))),"ja","–")</f>
        <v/>
      </c>
      <c r="K11" s="36">
        <f>IF(AND($D11&lt;=K$7,ISNUMBER(SEARCH($E11,K$8)),OR($F11="alle",ISNUMBER(SEARCH(K$5,$F11)))),"ja","–")</f>
        <v/>
      </c>
      <c r="L11" s="36">
        <f>IF(AND($D11&lt;=L$7,ISNUMBER(SEARCH($E11,L$8)),OR($F11="alle",ISNUMBER(SEARCH(L$5,$F11)))),"ja","–")</f>
        <v/>
      </c>
      <c r="M11" s="36">
        <f>IF(AND($D11&lt;=M$7,ISNUMBER(SEARCH($E11,M$8)),OR($F11="alle",ISNUMBER(SEARCH(M$5,$F11)))),"ja","–")</f>
        <v/>
      </c>
      <c r="N11" s="36">
        <f>IF(AND($D11&lt;=N$7,ISNUMBER(SEARCH($E11,N$8)),OR($F11="alle",ISNUMBER(SEARCH(N$5,$F11)))),"ja","–")</f>
        <v/>
      </c>
    </row>
    <row r="12">
      <c r="A12" s="12" t="inlineStr">
        <is>
          <t>EQP-003</t>
        </is>
      </c>
      <c r="B12" s="7" t="inlineStr">
        <is>
          <t>Belagerungskanone</t>
        </is>
      </c>
      <c r="C12" s="7" t="inlineStr">
        <is>
          <t>schwer</t>
        </is>
      </c>
      <c r="D12" s="35">
        <f>MATCH(C12,$B$1:$D$1,0)</f>
        <v/>
      </c>
      <c r="E12" s="7" t="inlineStr">
        <is>
          <t>Waffe</t>
        </is>
      </c>
      <c r="F12" s="7" t="inlineStr">
        <is>
          <t>alle</t>
        </is>
      </c>
      <c r="G12" s="36">
        <f>IF(AND($D12&lt;=G$7,ISNUMBER(SEARCH($E12,G$8)),OR($F12="alle",ISNUMBER(SEARCH(G$5,$F12)))),"ja","–")</f>
        <v/>
      </c>
      <c r="H12" s="36">
        <f>IF(AND($D12&lt;=H$7,ISNUMBER(SEARCH($E12,H$8)),OR($F12="alle",ISNUMBER(SEARCH(H$5,$F12)))),"ja","–")</f>
        <v/>
      </c>
      <c r="I12" s="36">
        <f>IF(AND($D12&lt;=I$7,ISNUMBER(SEARCH($E12,I$8)),OR($F12="alle",ISNUMBER(SEARCH(I$5,$F12)))),"ja","–")</f>
        <v/>
      </c>
      <c r="J12" s="36">
        <f>IF(AND($D12&lt;=J$7,ISNUMBER(SEARCH($E12,J$8)),OR($F12="alle",ISNUMBER(SEARCH(J$5,$F12)))),"ja","–")</f>
        <v/>
      </c>
      <c r="K12" s="36">
        <f>IF(AND($D12&lt;=K$7,ISNUMBER(SEARCH($E12,K$8)),OR($F12="alle",ISNUMBER(SEARCH(K$5,$F12)))),"ja","–")</f>
        <v/>
      </c>
      <c r="L12" s="36">
        <f>IF(AND($D12&lt;=L$7,ISNUMBER(SEARCH($E12,L$8)),OR($F12="alle",ISNUMBER(SEARCH(L$5,$F12)))),"ja","–")</f>
        <v/>
      </c>
      <c r="M12" s="36">
        <f>IF(AND($D12&lt;=M$7,ISNUMBER(SEARCH($E12,M$8)),OR($F12="alle",ISNUMBER(SEARCH(M$5,$F12)))),"ja","–")</f>
        <v/>
      </c>
      <c r="N12" s="36">
        <f>IF(AND($D12&lt;=N$7,ISNUMBER(SEARCH($E12,N$8)),OR($F12="alle",ISNUMBER(SEARCH(N$5,$F12)))),"ja","–")</f>
        <v/>
      </c>
    </row>
    <row r="13">
      <c r="A13" s="12" t="inlineStr">
        <is>
          <t>EQP-004</t>
        </is>
      </c>
      <c r="B13" s="7" t="inlineStr">
        <is>
          <t>Drohnen-Pod</t>
        </is>
      </c>
      <c r="C13" s="7" t="inlineStr">
        <is>
          <t>leicht</t>
        </is>
      </c>
      <c r="D13" s="35">
        <f>MATCH(C13,$B$1:$D$1,0)</f>
        <v/>
      </c>
      <c r="E13" s="7" t="inlineStr">
        <is>
          <t>Support</t>
        </is>
      </c>
      <c r="F13" s="7" t="inlineStr">
        <is>
          <t>equip_shoulder</t>
        </is>
      </c>
      <c r="G13" s="36">
        <f>IF(AND($D13&lt;=G$7,ISNUMBER(SEARCH($E13,G$8)),OR($F13="alle",ISNUMBER(SEARCH(G$5,$F13)))),"ja","–")</f>
        <v/>
      </c>
      <c r="H13" s="36">
        <f>IF(AND($D13&lt;=H$7,ISNUMBER(SEARCH($E13,H$8)),OR($F13="alle",ISNUMBER(SEARCH(H$5,$F13)))),"ja","–")</f>
        <v/>
      </c>
      <c r="I13" s="36">
        <f>IF(AND($D13&lt;=I$7,ISNUMBER(SEARCH($E13,I$8)),OR($F13="alle",ISNUMBER(SEARCH(I$5,$F13)))),"ja","–")</f>
        <v/>
      </c>
      <c r="J13" s="36">
        <f>IF(AND($D13&lt;=J$7,ISNUMBER(SEARCH($E13,J$8)),OR($F13="alle",ISNUMBER(SEARCH(J$5,$F13)))),"ja","–")</f>
        <v/>
      </c>
      <c r="K13" s="36">
        <f>IF(AND($D13&lt;=K$7,ISNUMBER(SEARCH($E13,K$8)),OR($F13="alle",ISNUMBER(SEARCH(K$5,$F13)))),"ja","–")</f>
        <v/>
      </c>
      <c r="L13" s="36">
        <f>IF(AND($D13&lt;=L$7,ISNUMBER(SEARCH($E13,L$8)),OR($F13="alle",ISNUMBER(SEARCH(L$5,$F13)))),"ja","–")</f>
        <v/>
      </c>
      <c r="M13" s="36">
        <f>IF(AND($D13&lt;=M$7,ISNUMBER(SEARCH($E13,M$8)),OR($F13="alle",ISNUMBER(SEARCH(M$5,$F13)))),"ja","–")</f>
        <v/>
      </c>
      <c r="N13" s="36">
        <f>IF(AND($D13&lt;=N$7,ISNUMBER(SEARCH($E13,N$8)),OR($F13="alle",ISNUMBER(SEARCH(N$5,$F13)))),"ja","–")</f>
        <v/>
      </c>
    </row>
    <row r="14">
      <c r="A14" s="12" t="inlineStr">
        <is>
          <t>EQP-005</t>
        </is>
      </c>
      <c r="B14" s="7" t="inlineStr">
        <is>
          <t>Runenstab</t>
        </is>
      </c>
      <c r="C14" s="7" t="inlineStr">
        <is>
          <t>leicht</t>
        </is>
      </c>
      <c r="D14" s="35">
        <f>MATCH(C14,$B$1:$D$1,0)</f>
        <v/>
      </c>
      <c r="E14" s="7" t="inlineStr">
        <is>
          <t>Waffe</t>
        </is>
      </c>
      <c r="F14" s="7" t="inlineStr">
        <is>
          <t>alle</t>
        </is>
      </c>
      <c r="G14" s="36">
        <f>IF(AND($D14&lt;=G$7,ISNUMBER(SEARCH($E14,G$8)),OR($F14="alle",ISNUMBER(SEARCH(G$5,$F14)))),"ja","–")</f>
        <v/>
      </c>
      <c r="H14" s="36">
        <f>IF(AND($D14&lt;=H$7,ISNUMBER(SEARCH($E14,H$8)),OR($F14="alle",ISNUMBER(SEARCH(H$5,$F14)))),"ja","–")</f>
        <v/>
      </c>
      <c r="I14" s="36">
        <f>IF(AND($D14&lt;=I$7,ISNUMBER(SEARCH($E14,I$8)),OR($F14="alle",ISNUMBER(SEARCH(I$5,$F14)))),"ja","–")</f>
        <v/>
      </c>
      <c r="J14" s="36">
        <f>IF(AND($D14&lt;=J$7,ISNUMBER(SEARCH($E14,J$8)),OR($F14="alle",ISNUMBER(SEARCH(J$5,$F14)))),"ja","–")</f>
        <v/>
      </c>
      <c r="K14" s="36">
        <f>IF(AND($D14&lt;=K$7,ISNUMBER(SEARCH($E14,K$8)),OR($F14="alle",ISNUMBER(SEARCH(K$5,$F14)))),"ja","–")</f>
        <v/>
      </c>
      <c r="L14" s="36">
        <f>IF(AND($D14&lt;=L$7,ISNUMBER(SEARCH($E14,L$8)),OR($F14="alle",ISNUMBER(SEARCH(L$5,$F14)))),"ja","–")</f>
        <v/>
      </c>
      <c r="M14" s="36">
        <f>IF(AND($D14&lt;=M$7,ISNUMBER(SEARCH($E14,M$8)),OR($F14="alle",ISNUMBER(SEARCH(M$5,$F14)))),"ja","–")</f>
        <v/>
      </c>
      <c r="N14" s="36">
        <f>IF(AND($D14&lt;=N$7,ISNUMBER(SEARCH($E14,N$8)),OR($F14="alle",ISNUMBER(SEARCH(N$5,$F14)))),"ja","–")</f>
        <v/>
      </c>
    </row>
    <row r="15">
      <c r="A15" s="12" t="inlineStr">
        <is>
          <t>EQP-006</t>
        </is>
      </c>
      <c r="B15" s="7" t="inlineStr">
        <is>
          <t>Orbit-Fokus</t>
        </is>
      </c>
      <c r="C15" s="7" t="inlineStr">
        <is>
          <t>leicht</t>
        </is>
      </c>
      <c r="D15" s="35">
        <f>MATCH(C15,$B$1:$D$1,0)</f>
        <v/>
      </c>
      <c r="E15" s="7" t="inlineStr">
        <is>
          <t>Support</t>
        </is>
      </c>
      <c r="F15" s="7" t="inlineStr">
        <is>
          <t>alle</t>
        </is>
      </c>
      <c r="G15" s="36">
        <f>IF(AND($D15&lt;=G$7,ISNUMBER(SEARCH($E15,G$8)),OR($F15="alle",ISNUMBER(SEARCH(G$5,$F15)))),"ja","–")</f>
        <v/>
      </c>
      <c r="H15" s="36">
        <f>IF(AND($D15&lt;=H$7,ISNUMBER(SEARCH($E15,H$8)),OR($F15="alle",ISNUMBER(SEARCH(H$5,$F15)))),"ja","–")</f>
        <v/>
      </c>
      <c r="I15" s="36">
        <f>IF(AND($D15&lt;=I$7,ISNUMBER(SEARCH($E15,I$8)),OR($F15="alle",ISNUMBER(SEARCH(I$5,$F15)))),"ja","–")</f>
        <v/>
      </c>
      <c r="J15" s="36">
        <f>IF(AND($D15&lt;=J$7,ISNUMBER(SEARCH($E15,J$8)),OR($F15="alle",ISNUMBER(SEARCH(J$5,$F15)))),"ja","–")</f>
        <v/>
      </c>
      <c r="K15" s="36">
        <f>IF(AND($D15&lt;=K$7,ISNUMBER(SEARCH($E15,K$8)),OR($F15="alle",ISNUMBER(SEARCH(K$5,$F15)))),"ja","–")</f>
        <v/>
      </c>
      <c r="L15" s="36">
        <f>IF(AND($D15&lt;=L$7,ISNUMBER(SEARCH($E15,L$8)),OR($F15="alle",ISNUMBER(SEARCH(L$5,$F15)))),"ja","–")</f>
        <v/>
      </c>
      <c r="M15" s="36">
        <f>IF(AND($D15&lt;=M$7,ISNUMBER(SEARCH($E15,M$8)),OR($F15="alle",ISNUMBER(SEARCH(M$5,$F15)))),"ja","–")</f>
        <v/>
      </c>
      <c r="N15" s="36">
        <f>IF(AND($D15&lt;=N$7,ISNUMBER(SEARCH($E15,N$8)),OR($F15="alle",ISNUMBER(SEARCH(N$5,$F15)))),"ja","–")</f>
        <v/>
      </c>
    </row>
    <row r="16">
      <c r="A16" s="12" t="inlineStr">
        <is>
          <t>EQP-007</t>
        </is>
      </c>
      <c r="B16" s="7" t="inlineStr">
        <is>
          <t>Schienen-Lanze</t>
        </is>
      </c>
      <c r="C16" s="7" t="inlineStr">
        <is>
          <t>schwer</t>
        </is>
      </c>
      <c r="D16" s="35">
        <f>MATCH(C16,$B$1:$D$1,0)</f>
        <v/>
      </c>
      <c r="E16" s="7" t="inlineStr">
        <is>
          <t>Waffe</t>
        </is>
      </c>
      <c r="F16" s="7" t="inlineStr">
        <is>
          <t>alle</t>
        </is>
      </c>
      <c r="G16" s="36">
        <f>IF(AND($D16&lt;=G$7,ISNUMBER(SEARCH($E16,G$8)),OR($F16="alle",ISNUMBER(SEARCH(G$5,$F16)))),"ja","–")</f>
        <v/>
      </c>
      <c r="H16" s="36">
        <f>IF(AND($D16&lt;=H$7,ISNUMBER(SEARCH($E16,H$8)),OR($F16="alle",ISNUMBER(SEARCH(H$5,$F16)))),"ja","–")</f>
        <v/>
      </c>
      <c r="I16" s="36">
        <f>IF(AND($D16&lt;=I$7,ISNUMBER(SEARCH($E16,I$8)),OR($F16="alle",ISNUMBER(SEARCH(I$5,$F16)))),"ja","–")</f>
        <v/>
      </c>
      <c r="J16" s="36">
        <f>IF(AND($D16&lt;=J$7,ISNUMBER(SEARCH($E16,J$8)),OR($F16="alle",ISNUMBER(SEARCH(J$5,$F16)))),"ja","–")</f>
        <v/>
      </c>
      <c r="K16" s="36">
        <f>IF(AND($D16&lt;=K$7,ISNUMBER(SEARCH($E16,K$8)),OR($F16="alle",ISNUMBER(SEARCH(K$5,$F16)))),"ja","–")</f>
        <v/>
      </c>
      <c r="L16" s="36">
        <f>IF(AND($D16&lt;=L$7,ISNUMBER(SEARCH($E16,L$8)),OR($F16="alle",ISNUMBER(SEARCH(L$5,$F16)))),"ja","–")</f>
        <v/>
      </c>
      <c r="M16" s="36">
        <f>IF(AND($D16&lt;=M$7,ISNUMBER(SEARCH($E16,M$8)),OR($F16="alle",ISNUMBER(SEARCH(M$5,$F16)))),"ja","–")</f>
        <v/>
      </c>
      <c r="N16" s="36">
        <f>IF(AND($D16&lt;=N$7,ISNUMBER(SEARCH($E16,N$8)),OR($F16="alle",ISNUMBER(SEARCH(N$5,$F16)))),"ja","–")</f>
        <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14" customWidth="1" min="1" max="1"/>
    <col width="26" customWidth="1" min="2" max="2"/>
    <col width="26" customWidth="1" min="3" max="3"/>
    <col width="12" customWidth="1" min="4" max="4"/>
    <col width="46" customWidth="1" min="5" max="5"/>
  </cols>
  <sheetData>
    <row r="1">
      <c r="A1" s="1" t="inlineStr">
        <is>
          <t>Silhouetten-Abstand</t>
        </is>
      </c>
    </row>
    <row r="2">
      <c r="A2" s="2" t="inlineStr">
        <is>
          <t>1.00 hiesse ununterscheidbar. Bei AUSRUESTUNG ist 0.85 eine harte Grenze -- dort bricht der Generator ab, weil der Spieler an der Waffe ihre Rolle abliest. Bei RAHMENTEILEN gibt es KEINE Grenze und kein Urteil: das Mass saettigt dort, jedes gedrungene Teil wird normiert zum selben Klumpen. Brauchbar ist nur die Reihenfolge -- welches Paar liegt am engsten. Ob die Formen wirklich verschieden sind, sagt das Auge.</t>
        </is>
      </c>
    </row>
    <row r="4" ht="30" customHeight="1">
      <c r="A4" s="3" t="inlineStr">
        <is>
          <t>Typ</t>
        </is>
      </c>
      <c r="B4" s="3" t="inlineStr">
        <is>
          <t>Teil A</t>
        </is>
      </c>
      <c r="C4" s="3" t="inlineStr">
        <is>
          <t>Teil B</t>
        </is>
      </c>
      <c r="D4" s="3" t="inlineStr">
        <is>
          <t>Abstand</t>
        </is>
      </c>
      <c r="E4" s="3" t="inlineStr">
        <is>
          <t>Bewertung</t>
        </is>
      </c>
    </row>
    <row r="5">
      <c r="A5" s="7" t="inlineStr">
        <is>
          <t>Koerper</t>
        </is>
      </c>
      <c r="B5" s="7" t="inlineStr">
        <is>
          <t>CHS-001 Vireo Chassis</t>
        </is>
      </c>
      <c r="C5" s="7" t="inlineStr">
        <is>
          <t>CHS-002 Molok Chassis</t>
        </is>
      </c>
      <c r="D5" s="37" t="n">
        <v>0.85</v>
      </c>
      <c r="E5" s="7" t="inlineStr">
        <is>
          <t>engstes Paar dieses Typs</t>
        </is>
      </c>
    </row>
    <row r="6">
      <c r="A6" s="7" t="inlineStr">
        <is>
          <t>Koerper</t>
        </is>
      </c>
      <c r="B6" s="7" t="inlineStr">
        <is>
          <t>CHS-002 Molok Chassis</t>
        </is>
      </c>
      <c r="C6" s="7" t="inlineStr">
        <is>
          <t>CHS-003 Nimbus Chassis</t>
        </is>
      </c>
      <c r="D6" s="37" t="n">
        <v>0.78</v>
      </c>
      <c r="E6" s="7" t="inlineStr"/>
    </row>
    <row r="7">
      <c r="A7" s="7" t="inlineStr">
        <is>
          <t>Koerper</t>
        </is>
      </c>
      <c r="B7" s="7" t="inlineStr">
        <is>
          <t>CHS-001 Vireo Chassis</t>
        </is>
      </c>
      <c r="C7" s="7" t="inlineStr">
        <is>
          <t>CHS-003 Nimbus Chassis</t>
        </is>
      </c>
      <c r="D7" s="37" t="n">
        <v>0.76</v>
      </c>
      <c r="E7" s="7" t="inlineStr"/>
    </row>
    <row r="8">
      <c r="A8" s="7" t="inlineStr">
        <is>
          <t>Kopf</t>
        </is>
      </c>
      <c r="B8" s="7" t="inlineStr">
        <is>
          <t>HED-002 Molok Bunkerkopf</t>
        </is>
      </c>
      <c r="C8" s="7" t="inlineStr">
        <is>
          <t>HED-003 Nimbus Flachhelm</t>
        </is>
      </c>
      <c r="D8" s="37" t="n">
        <v>0.88</v>
      </c>
      <c r="E8" s="7" t="inlineStr">
        <is>
          <t>engstes Paar dieses Typs</t>
        </is>
      </c>
    </row>
    <row r="9">
      <c r="A9" s="7" t="inlineStr">
        <is>
          <t>Kopf</t>
        </is>
      </c>
      <c r="B9" s="7" t="inlineStr">
        <is>
          <t>HED-001 Vireo Sensorkopf</t>
        </is>
      </c>
      <c r="C9" s="7" t="inlineStr">
        <is>
          <t>HED-002 Molok Bunkerkopf</t>
        </is>
      </c>
      <c r="D9" s="37" t="n">
        <v>0.79</v>
      </c>
      <c r="E9" s="7" t="inlineStr"/>
    </row>
    <row r="10">
      <c r="A10" s="7" t="inlineStr">
        <is>
          <t>Kopf</t>
        </is>
      </c>
      <c r="B10" s="7" t="inlineStr">
        <is>
          <t>HED-001 Vireo Sensorkopf</t>
        </is>
      </c>
      <c r="C10" s="7" t="inlineStr">
        <is>
          <t>HED-003 Nimbus Flachhelm</t>
        </is>
      </c>
      <c r="D10" s="37" t="n">
        <v>0.74</v>
      </c>
      <c r="E10" s="7" t="inlineStr"/>
    </row>
    <row r="11">
      <c r="A11" s="7" t="inlineStr">
        <is>
          <t>Fuesse</t>
        </is>
      </c>
      <c r="B11" s="7" t="inlineStr">
        <is>
          <t>LEG-001 Vireo Sprintbeine</t>
        </is>
      </c>
      <c r="C11" s="7" t="inlineStr">
        <is>
          <t>LEG-004 Strix Federbeine</t>
        </is>
      </c>
      <c r="D11" s="37" t="n">
        <v>0.66</v>
      </c>
      <c r="E11" s="7" t="inlineStr">
        <is>
          <t>engstes Paar dieses Typs</t>
        </is>
      </c>
    </row>
    <row r="12">
      <c r="A12" s="7" t="inlineStr">
        <is>
          <t>Fuesse</t>
        </is>
      </c>
      <c r="B12" s="7" t="inlineStr">
        <is>
          <t>LEG-001 Vireo Sprintbeine</t>
        </is>
      </c>
      <c r="C12" s="7" t="inlineStr">
        <is>
          <t>LEG-002 Molok Standbeine</t>
        </is>
      </c>
      <c r="D12" s="37" t="n">
        <v>0.5600000000000001</v>
      </c>
      <c r="E12" s="7" t="inlineStr"/>
    </row>
    <row r="13">
      <c r="A13" s="7" t="inlineStr">
        <is>
          <t>Fuesse</t>
        </is>
      </c>
      <c r="B13" s="7" t="inlineStr">
        <is>
          <t>LEG-002 Molok Standbeine</t>
        </is>
      </c>
      <c r="C13" s="7" t="inlineStr">
        <is>
          <t>LEG-003 Nimbus Fahrwerk</t>
        </is>
      </c>
      <c r="D13" s="37" t="n">
        <v>0.5600000000000001</v>
      </c>
      <c r="E13" s="7" t="inlineStr"/>
    </row>
    <row r="14">
      <c r="A14" s="7" t="inlineStr">
        <is>
          <t>Kern</t>
        </is>
      </c>
      <c r="B14" s="7" t="inlineStr">
        <is>
          <t>COR-002 Molok Fusionskern</t>
        </is>
      </c>
      <c r="C14" s="7" t="inlineStr">
        <is>
          <t>COR-003 Nimbus Arkankern</t>
        </is>
      </c>
      <c r="D14" s="37" t="n">
        <v>0.82</v>
      </c>
      <c r="E14" s="7" t="inlineStr">
        <is>
          <t>engstes Paar dieses Typs</t>
        </is>
      </c>
    </row>
    <row r="15">
      <c r="A15" s="7" t="inlineStr">
        <is>
          <t>Kern</t>
        </is>
      </c>
      <c r="B15" s="7" t="inlineStr">
        <is>
          <t>COR-001 Vireo Impulskern</t>
        </is>
      </c>
      <c r="C15" s="7" t="inlineStr">
        <is>
          <t>COR-002 Molok Fusionskern</t>
        </is>
      </c>
      <c r="D15" s="37" t="n">
        <v>0.8100000000000001</v>
      </c>
      <c r="E15" s="7" t="inlineStr"/>
    </row>
    <row r="16">
      <c r="A16" s="7" t="inlineStr">
        <is>
          <t>Kern</t>
        </is>
      </c>
      <c r="B16" s="7" t="inlineStr">
        <is>
          <t>COR-001 Vireo Impulskern</t>
        </is>
      </c>
      <c r="C16" s="7" t="inlineStr">
        <is>
          <t>COR-003 Nimbus Arkankern</t>
        </is>
      </c>
      <c r="D16" s="37" t="n">
        <v>0.78</v>
      </c>
      <c r="E16" s="7" t="inlineStr"/>
    </row>
    <row r="17">
      <c r="A17" s="7" t="inlineStr">
        <is>
          <t>Ausruestung</t>
        </is>
      </c>
      <c r="B17" s="7" t="inlineStr">
        <is>
          <t>EQP-001 Puls-Blaster</t>
        </is>
      </c>
      <c r="C17" s="7" t="inlineStr">
        <is>
          <t>EQP-003 Belagerungskanone</t>
        </is>
      </c>
      <c r="D17" s="37" t="n">
        <v>0.66</v>
      </c>
      <c r="E17" s="7" t="inlineStr">
        <is>
          <t>unterscheidbar</t>
        </is>
      </c>
    </row>
    <row r="18">
      <c r="A18" s="7" t="inlineStr">
        <is>
          <t>Ausruestung</t>
        </is>
      </c>
      <c r="B18" s="7" t="inlineStr">
        <is>
          <t>EQP-001 Puls-Blaster</t>
        </is>
      </c>
      <c r="C18" s="7" t="inlineStr">
        <is>
          <t>EQP-004 Drohnen-Pod</t>
        </is>
      </c>
      <c r="D18" s="37" t="n">
        <v>0.61</v>
      </c>
      <c r="E18" s="7" t="inlineStr">
        <is>
          <t>unterscheidbar</t>
        </is>
      </c>
    </row>
    <row r="19">
      <c r="A19" s="7" t="inlineStr">
        <is>
          <t>Ausruestung</t>
        </is>
      </c>
      <c r="B19" s="7" t="inlineStr">
        <is>
          <t>EQP-003 Belagerungskanone</t>
        </is>
      </c>
      <c r="C19" s="7" t="inlineStr">
        <is>
          <t>EQP-007 Schienen-Lanze</t>
        </is>
      </c>
      <c r="D19" s="37" t="n">
        <v>0.61</v>
      </c>
      <c r="E19" s="7" t="inlineStr">
        <is>
          <t>unterscheidbar</t>
        </is>
      </c>
    </row>
    <row r="21">
      <c r="A21" s="2" t="inlineStr">
        <is>
          <t>Pruefstein: die erste Belagerungskanone (ein Blaster mit groesseren Zahlen) liegt bei 0.91 -- genau der Fall, den die Regel verbietet.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2026-08-07T11:15:01Z</dcterms:created>
  <dcterms:modified xsi:type="dcterms:W3CDTF">2026-08-07T11:15:01Z</dcterms:modified>
</cp:coreProperties>
</file>